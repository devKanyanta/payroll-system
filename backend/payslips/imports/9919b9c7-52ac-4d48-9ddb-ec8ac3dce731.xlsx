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60" windowHeight="12045"/>
  </bookViews>
  <sheets>
    <sheet name="PAYROLL" sheetId="1" r:id="rId1"/>
  </sheets>
  <calcPr calcId="144525"/>
</workbook>
</file>

<file path=xl/sharedStrings.xml><?xml version="1.0" encoding="utf-8"?>
<sst xmlns="http://schemas.openxmlformats.org/spreadsheetml/2006/main" count="172" uniqueCount="148">
  <si>
    <t>S/N</t>
  </si>
  <si>
    <t>EMPLOYEE NUMBER</t>
  </si>
  <si>
    <t>NAMES</t>
  </si>
  <si>
    <t>NRC</t>
  </si>
  <si>
    <t>JOB TITTLE</t>
  </si>
  <si>
    <t>SITE</t>
  </si>
  <si>
    <t>PHONE NUMBER</t>
  </si>
  <si>
    <t>EMAIL</t>
  </si>
  <si>
    <t>ACCOUNT NUMBER</t>
  </si>
  <si>
    <t>SORT CODE</t>
  </si>
  <si>
    <t>RATE/HRS</t>
  </si>
  <si>
    <t>NORMAL WORKING HRS</t>
  </si>
  <si>
    <t>OVER TIME RATE</t>
  </si>
  <si>
    <t>HOLIDAY OVERTIME RATE</t>
  </si>
  <si>
    <t>PRESENT DAYS</t>
  </si>
  <si>
    <t>PRESENT AMOUNT</t>
  </si>
  <si>
    <t>OVERT TIME</t>
  </si>
  <si>
    <t>OVER TIME AMOUNT</t>
  </si>
  <si>
    <t>HOLIDAY OVER TIME</t>
  </si>
  <si>
    <t>HOLIDAY OVER TIME AMOUNT</t>
  </si>
  <si>
    <t>GROSS SALARY</t>
  </si>
  <si>
    <t>NHIMA</t>
  </si>
  <si>
    <t>NAPSA</t>
  </si>
  <si>
    <t>SOFT LOAN</t>
  </si>
  <si>
    <t>SOFT LOAN DEDUCTION</t>
  </si>
  <si>
    <t>OTHER DEDUCTION</t>
  </si>
  <si>
    <t>NET PAY</t>
  </si>
  <si>
    <t>MES 082</t>
  </si>
  <si>
    <t>LUCKSON KAMBELA</t>
  </si>
  <si>
    <t>288616/66/1</t>
  </si>
  <si>
    <t>ASSITANT HR</t>
  </si>
  <si>
    <t>KITWE</t>
  </si>
  <si>
    <t>0977000000</t>
  </si>
  <si>
    <t>1john@example.com</t>
  </si>
  <si>
    <t>1234567890</t>
  </si>
  <si>
    <t>010101</t>
  </si>
  <si>
    <t>MES 069</t>
  </si>
  <si>
    <t>ROBERT LUNDWE</t>
  </si>
  <si>
    <t>271449/66/1</t>
  </si>
  <si>
    <t>WORKMAN</t>
  </si>
  <si>
    <t>0977000001</t>
  </si>
  <si>
    <t>2john@example.com</t>
  </si>
  <si>
    <t>1234567891</t>
  </si>
  <si>
    <t>010102</t>
  </si>
  <si>
    <t>MES 079</t>
  </si>
  <si>
    <t>GIFT KAPUNDA</t>
  </si>
  <si>
    <t>284711/66/1</t>
  </si>
  <si>
    <t>MULTI SKILLED OPT</t>
  </si>
  <si>
    <t>0977000002</t>
  </si>
  <si>
    <t>3john@example.com</t>
  </si>
  <si>
    <t>1234567892</t>
  </si>
  <si>
    <t>010103</t>
  </si>
  <si>
    <t>MES 059</t>
  </si>
  <si>
    <t>JOSHUA MWANGO</t>
  </si>
  <si>
    <t>338749/24/1</t>
  </si>
  <si>
    <t>0977000003</t>
  </si>
  <si>
    <t>4john@example.com</t>
  </si>
  <si>
    <t>1234567893</t>
  </si>
  <si>
    <t>010104</t>
  </si>
  <si>
    <t>MES 080</t>
  </si>
  <si>
    <t>ALINANI SICHILIMA</t>
  </si>
  <si>
    <t>669946/67/1</t>
  </si>
  <si>
    <t>TIPPER DRIVER</t>
  </si>
  <si>
    <t>0977000004</t>
  </si>
  <si>
    <t>5john@example.com</t>
  </si>
  <si>
    <t>1234567894</t>
  </si>
  <si>
    <t>010105</t>
  </si>
  <si>
    <t>MES 081</t>
  </si>
  <si>
    <t>HENRY TULUMBA</t>
  </si>
  <si>
    <t>359631/66/1</t>
  </si>
  <si>
    <t>SCAFFOLDER</t>
  </si>
  <si>
    <t>0977000005</t>
  </si>
  <si>
    <t>6john@example.com</t>
  </si>
  <si>
    <t>1234567895</t>
  </si>
  <si>
    <t>010106</t>
  </si>
  <si>
    <t>MES 083</t>
  </si>
  <si>
    <t>CHRISTOPHER BWALYA</t>
  </si>
  <si>
    <t>232210/12/1</t>
  </si>
  <si>
    <t>0977000006</t>
  </si>
  <si>
    <t>7john@example.com</t>
  </si>
  <si>
    <t>1234567896</t>
  </si>
  <si>
    <t>010107</t>
  </si>
  <si>
    <t>MES 084</t>
  </si>
  <si>
    <t>LAWRENCE KALUFYANYA</t>
  </si>
  <si>
    <t>169602/22/1</t>
  </si>
  <si>
    <t>0977000007</t>
  </si>
  <si>
    <t>8john@example.com</t>
  </si>
  <si>
    <t>1234567897</t>
  </si>
  <si>
    <t>010108</t>
  </si>
  <si>
    <t>MES 085</t>
  </si>
  <si>
    <t>ALEX KATEBE</t>
  </si>
  <si>
    <t>3276/66/1</t>
  </si>
  <si>
    <t>STORE KEEPER</t>
  </si>
  <si>
    <t>0977000008</t>
  </si>
  <si>
    <t>9john@example.com</t>
  </si>
  <si>
    <t>1234567898</t>
  </si>
  <si>
    <t>010109</t>
  </si>
  <si>
    <t>MES 086</t>
  </si>
  <si>
    <t>MATHEW SIMWANZA</t>
  </si>
  <si>
    <t>364722/66/1</t>
  </si>
  <si>
    <t>HELPER</t>
  </si>
  <si>
    <t>0977000009</t>
  </si>
  <si>
    <t>10john@example.com</t>
  </si>
  <si>
    <t>1234567899</t>
  </si>
  <si>
    <t>010110</t>
  </si>
  <si>
    <t>MES 087</t>
  </si>
  <si>
    <t>EZEKIEL MWANZA</t>
  </si>
  <si>
    <t>411276/66/1</t>
  </si>
  <si>
    <t>0977000010</t>
  </si>
  <si>
    <t>11john@example.com</t>
  </si>
  <si>
    <t>1234567900</t>
  </si>
  <si>
    <t>010111</t>
  </si>
  <si>
    <t>MES 088</t>
  </si>
  <si>
    <t>KUNDANANJI SIAME</t>
  </si>
  <si>
    <t>405012/66/1</t>
  </si>
  <si>
    <t>0977000011</t>
  </si>
  <si>
    <t>12john@example.com</t>
  </si>
  <si>
    <t>1234567901</t>
  </si>
  <si>
    <t>010112</t>
  </si>
  <si>
    <t>MES 089</t>
  </si>
  <si>
    <t>CHANDA CHILESHE</t>
  </si>
  <si>
    <t>270825/32/1</t>
  </si>
  <si>
    <t>0977000012</t>
  </si>
  <si>
    <t>13john@example.com</t>
  </si>
  <si>
    <t>1234567902</t>
  </si>
  <si>
    <t>010113</t>
  </si>
  <si>
    <t>MES 090</t>
  </si>
  <si>
    <t>BERNARD CHIPULU</t>
  </si>
  <si>
    <t>251478/66/1</t>
  </si>
  <si>
    <t>0977000013</t>
  </si>
  <si>
    <t>14john@example.com</t>
  </si>
  <si>
    <t>1234567903</t>
  </si>
  <si>
    <t>010114</t>
  </si>
  <si>
    <t>MES 091</t>
  </si>
  <si>
    <t>ALBERT MATETE</t>
  </si>
  <si>
    <t>264961/63/1</t>
  </si>
  <si>
    <t>0977000014</t>
  </si>
  <si>
    <t>15john@example.com</t>
  </si>
  <si>
    <t>1234567904</t>
  </si>
  <si>
    <t>010115</t>
  </si>
  <si>
    <t>MES 092</t>
  </si>
  <si>
    <t>JONATHAN MUNSIMBA</t>
  </si>
  <si>
    <t>264961/63/2</t>
  </si>
  <si>
    <t>0977000015</t>
  </si>
  <si>
    <t>16john@example.com</t>
  </si>
  <si>
    <t>1234567905</t>
  </si>
  <si>
    <t>010116</t>
  </si>
  <si>
    <t>TOTALS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</si>
</sst>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0" borderId="0"/>
    <xf numFmtId="0" fontId="7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13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1" borderId="6" applyNumberFormat="0" applyFon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1" xfId="19" applyFont="1" applyBorder="1" applyAlignment="1">
      <alignment horizontal="left" vertical="center"/>
    </xf>
    <xf numFmtId="0" fontId="2" fillId="0" borderId="1" xfId="19" applyFont="1" applyBorder="1" applyAlignment="1">
      <alignment horizontal="center" vertical="center"/>
    </xf>
    <xf numFmtId="0" fontId="2" fillId="3" borderId="1" xfId="19" applyFont="1" applyFill="1" applyBorder="1" applyAlignment="1">
      <alignment horizontal="center" vertical="center"/>
    </xf>
    <xf numFmtId="0" fontId="2" fillId="3" borderId="1" xfId="19" applyFont="1" applyFill="1" applyBorder="1" applyAlignment="1">
      <alignment horizontal="left" vertical="center"/>
    </xf>
    <xf numFmtId="0" fontId="1" fillId="0" borderId="0" xfId="0" applyFont="1" applyAlignment="1"/>
    <xf numFmtId="0" fontId="3" fillId="0" borderId="0" xfId="49">
      <alignment vertical="center"/>
    </xf>
    <xf numFmtId="0" fontId="4" fillId="0" borderId="1" xfId="0" applyFill="1" applyBorder="1" applyAlignment="1"/>
    <xf numFmtId="0" fontId="4" fillId="3" borderId="1" xfId="0" applyFill="1" applyBorder="1" applyAlignmen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Normal 3" xfId="19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A20"/>
  <sheetViews>
    <sheetView tabSelected="1" workbookViewId="0">
      <selection activeCell="D20" sqref="D20"/>
    </sheetView>
  </sheetViews>
  <sheetFormatPr defaultColWidth="9" defaultRowHeight="15"/>
  <cols>
    <col min="1" max="1" width="7.48888888888889" customWidth="1"/>
    <col min="2" max="2" width="18.1925925925926" customWidth="1"/>
    <col min="3" max="3" width="18.4444444444444" customWidth="1"/>
    <col min="4" max="4" width="11.2148148148148" customWidth="1"/>
    <col min="5" max="5" width="10.1777777777778" customWidth="1"/>
    <col min="6" max="6" width="6.16296296296296" customWidth="1"/>
    <col min="7" max="7" width="15.2740740740741" customWidth="1"/>
    <col min="8" max="8" width="17.1925925925926" customWidth="1"/>
    <col min="9" max="9" width="17.6592592592593" customWidth="1"/>
    <col min="10" max="10" width="10.6592592592593" customWidth="1"/>
    <col min="11" max="11" width="9.45185185185185" customWidth="1"/>
    <col min="12" max="12" width="21.8296296296296" customWidth="1"/>
    <col min="13" max="13" width="15.1555555555556" customWidth="1"/>
    <col min="14" max="14" width="23.1111111111111" customWidth="1"/>
    <col min="15" max="15" width="13.5259259259259" customWidth="1"/>
    <col min="16" max="16" width="16.9703703703704" customWidth="1"/>
    <col min="17" max="17" width="11.362962962963" customWidth="1"/>
    <col min="18" max="18" width="18.8" customWidth="1"/>
    <col min="19" max="19" width="18.7703703703704" customWidth="1"/>
    <col min="20" max="20" width="27.2148148148148" customWidth="1"/>
    <col min="21" max="21" width="13.7185185185185" customWidth="1"/>
    <col min="22" max="22" width="7.23703703703704" customWidth="1"/>
    <col min="23" max="23" width="6.82222222222222" customWidth="1"/>
    <col min="24" max="24" width="10.6962962962963" customWidth="1"/>
    <col min="25" max="25" width="21.6222222222222" customWidth="1"/>
    <col min="26" max="26" width="17.7259259259259" customWidth="1"/>
    <col min="27" max="27" width="8.19259259259259" customWidth="1"/>
  </cols>
  <sheetData>
    <row r="3" spans="1:2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>
      <c r="A4">
        <v>1</v>
      </c>
      <c r="B4" s="2" t="s">
        <v>27</v>
      </c>
      <c r="C4" s="2" t="s">
        <v>28</v>
      </c>
      <c r="D4" s="3" t="s">
        <v>29</v>
      </c>
      <c r="E4" s="3" t="s">
        <v>30</v>
      </c>
      <c r="F4" t="s">
        <v>31</v>
      </c>
      <c r="G4" t="s">
        <v>32</v>
      </c>
      <c r="H4" s="7" t="s">
        <v>33</v>
      </c>
      <c r="I4" t="s">
        <v>34</v>
      </c>
      <c r="J4" t="s">
        <v>35</v>
      </c>
      <c r="K4" s="8">
        <v>20</v>
      </c>
      <c r="L4">
        <v>8</v>
      </c>
      <c r="M4">
        <f>K4*1.5</f>
        <v>30</v>
      </c>
      <c r="N4">
        <f>K4*2</f>
        <v>40</v>
      </c>
      <c r="O4" s="8">
        <v>26</v>
      </c>
      <c r="P4">
        <f>K4*L4*O4</f>
        <v>4160</v>
      </c>
      <c r="Q4" s="8">
        <v>30</v>
      </c>
      <c r="R4">
        <f>Q4*M4</f>
        <v>900</v>
      </c>
      <c r="S4" s="8">
        <v>0</v>
      </c>
      <c r="T4">
        <f>S4*N4</f>
        <v>0</v>
      </c>
      <c r="U4">
        <f>P4+R4+T4</f>
        <v>5060</v>
      </c>
      <c r="V4">
        <f>U4*1%</f>
        <v>50.6</v>
      </c>
      <c r="W4">
        <f>U4*5%</f>
        <v>253</v>
      </c>
      <c r="X4" s="8">
        <v>500</v>
      </c>
      <c r="Y4">
        <f>X4*0.3+X4</f>
        <v>650</v>
      </c>
      <c r="Z4">
        <v>0</v>
      </c>
      <c r="AA4">
        <f>U4-V4-W4-Y4-Z4</f>
        <v>4106.4</v>
      </c>
    </row>
    <row r="5" spans="1:27">
      <c r="A5">
        <v>2</v>
      </c>
      <c r="B5" s="3" t="s">
        <v>36</v>
      </c>
      <c r="C5" s="2" t="s">
        <v>37</v>
      </c>
      <c r="D5" s="3" t="s">
        <v>38</v>
      </c>
      <c r="E5" s="3" t="s">
        <v>39</v>
      </c>
      <c r="F5" t="s">
        <v>31</v>
      </c>
      <c r="G5" t="s">
        <v>40</v>
      </c>
      <c r="H5" s="7" t="s">
        <v>41</v>
      </c>
      <c r="I5" t="s">
        <v>42</v>
      </c>
      <c r="J5" t="s">
        <v>43</v>
      </c>
      <c r="K5" s="8">
        <v>11</v>
      </c>
      <c r="L5">
        <v>8</v>
      </c>
      <c r="M5">
        <f t="shared" ref="M5:M19" si="0">K5*1.5</f>
        <v>16.5</v>
      </c>
      <c r="N5">
        <f t="shared" ref="N5:N19" si="1">K5*2</f>
        <v>22</v>
      </c>
      <c r="O5" s="8">
        <v>20</v>
      </c>
      <c r="P5">
        <f t="shared" ref="P5:P19" si="2">K5*L5*O5</f>
        <v>1760</v>
      </c>
      <c r="Q5" s="8">
        <v>9</v>
      </c>
      <c r="R5">
        <f t="shared" ref="R5:R19" si="3">Q5*M5</f>
        <v>148.5</v>
      </c>
      <c r="S5" s="8">
        <v>0</v>
      </c>
      <c r="T5">
        <f t="shared" ref="T5:T19" si="4">S5*N5</f>
        <v>0</v>
      </c>
      <c r="U5">
        <f t="shared" ref="U5:U19" si="5">P5+R5+T5</f>
        <v>1908.5</v>
      </c>
      <c r="V5">
        <f t="shared" ref="V5:V19" si="6">U5*1%</f>
        <v>19.085</v>
      </c>
      <c r="W5">
        <f t="shared" ref="W5:W19" si="7">U5*5%</f>
        <v>95.425</v>
      </c>
      <c r="X5" s="8">
        <v>0</v>
      </c>
      <c r="Y5">
        <f t="shared" ref="Y5:Y19" si="8">X5*0.3+X5</f>
        <v>0</v>
      </c>
      <c r="Z5">
        <v>0</v>
      </c>
      <c r="AA5">
        <f t="shared" ref="AA5:AA19" si="9">U5-V5-W5-Y5-Z5</f>
        <v>1793.99</v>
      </c>
    </row>
    <row r="6" spans="1:27">
      <c r="A6">
        <v>3</v>
      </c>
      <c r="B6" s="3" t="s">
        <v>44</v>
      </c>
      <c r="C6" s="2" t="s">
        <v>45</v>
      </c>
      <c r="D6" s="3" t="s">
        <v>46</v>
      </c>
      <c r="E6" s="3" t="s">
        <v>47</v>
      </c>
      <c r="F6" t="s">
        <v>31</v>
      </c>
      <c r="G6" t="s">
        <v>48</v>
      </c>
      <c r="H6" s="7" t="s">
        <v>49</v>
      </c>
      <c r="I6" t="s">
        <v>50</v>
      </c>
      <c r="J6" t="s">
        <v>51</v>
      </c>
      <c r="K6" s="8">
        <v>30</v>
      </c>
      <c r="L6">
        <v>8</v>
      </c>
      <c r="M6">
        <f t="shared" si="0"/>
        <v>45</v>
      </c>
      <c r="N6">
        <f t="shared" si="1"/>
        <v>60</v>
      </c>
      <c r="O6" s="8">
        <v>19</v>
      </c>
      <c r="P6">
        <f t="shared" si="2"/>
        <v>4560</v>
      </c>
      <c r="Q6" s="8">
        <v>33</v>
      </c>
      <c r="R6">
        <f t="shared" si="3"/>
        <v>1485</v>
      </c>
      <c r="S6" s="8">
        <v>28</v>
      </c>
      <c r="T6">
        <f t="shared" si="4"/>
        <v>1680</v>
      </c>
      <c r="U6">
        <f t="shared" si="5"/>
        <v>7725</v>
      </c>
      <c r="V6">
        <f t="shared" si="6"/>
        <v>77.25</v>
      </c>
      <c r="W6">
        <f t="shared" si="7"/>
        <v>386.25</v>
      </c>
      <c r="X6" s="8"/>
      <c r="Y6">
        <f t="shared" si="8"/>
        <v>0</v>
      </c>
      <c r="Z6">
        <v>0</v>
      </c>
      <c r="AA6">
        <f t="shared" si="9"/>
        <v>7261.5</v>
      </c>
    </row>
    <row r="7" spans="1:27">
      <c r="A7">
        <v>4</v>
      </c>
      <c r="B7" s="3" t="s">
        <v>52</v>
      </c>
      <c r="C7" s="2" t="s">
        <v>53</v>
      </c>
      <c r="D7" s="3" t="s">
        <v>54</v>
      </c>
      <c r="E7" s="3" t="s">
        <v>47</v>
      </c>
      <c r="F7" t="s">
        <v>31</v>
      </c>
      <c r="G7" t="s">
        <v>55</v>
      </c>
      <c r="H7" s="7" t="s">
        <v>56</v>
      </c>
      <c r="I7" t="s">
        <v>57</v>
      </c>
      <c r="J7" t="s">
        <v>58</v>
      </c>
      <c r="K7" s="8">
        <v>30</v>
      </c>
      <c r="L7">
        <v>8</v>
      </c>
      <c r="M7">
        <f t="shared" si="0"/>
        <v>45</v>
      </c>
      <c r="N7">
        <f t="shared" si="1"/>
        <v>60</v>
      </c>
      <c r="O7" s="8">
        <v>21</v>
      </c>
      <c r="P7">
        <f t="shared" si="2"/>
        <v>5040</v>
      </c>
      <c r="Q7" s="8">
        <v>23</v>
      </c>
      <c r="R7">
        <f t="shared" si="3"/>
        <v>1035</v>
      </c>
      <c r="S7" s="8">
        <v>26</v>
      </c>
      <c r="T7">
        <f t="shared" si="4"/>
        <v>1560</v>
      </c>
      <c r="U7">
        <f t="shared" si="5"/>
        <v>7635</v>
      </c>
      <c r="V7">
        <f t="shared" si="6"/>
        <v>76.35</v>
      </c>
      <c r="W7">
        <f t="shared" si="7"/>
        <v>381.75</v>
      </c>
      <c r="X7" s="8"/>
      <c r="Y7">
        <f t="shared" si="8"/>
        <v>0</v>
      </c>
      <c r="Z7">
        <v>0</v>
      </c>
      <c r="AA7">
        <f t="shared" si="9"/>
        <v>7176.9</v>
      </c>
    </row>
    <row r="8" spans="1:27">
      <c r="A8">
        <v>5</v>
      </c>
      <c r="B8" s="3" t="s">
        <v>59</v>
      </c>
      <c r="C8" s="2" t="s">
        <v>60</v>
      </c>
      <c r="D8" s="3" t="s">
        <v>61</v>
      </c>
      <c r="E8" s="3" t="s">
        <v>62</v>
      </c>
      <c r="F8" t="s">
        <v>31</v>
      </c>
      <c r="G8" t="s">
        <v>63</v>
      </c>
      <c r="H8" s="7" t="s">
        <v>64</v>
      </c>
      <c r="I8" t="s">
        <v>65</v>
      </c>
      <c r="J8" t="s">
        <v>66</v>
      </c>
      <c r="K8" s="8">
        <v>18</v>
      </c>
      <c r="L8">
        <v>8</v>
      </c>
      <c r="M8">
        <f t="shared" si="0"/>
        <v>27</v>
      </c>
      <c r="N8">
        <f t="shared" si="1"/>
        <v>36</v>
      </c>
      <c r="O8" s="8">
        <v>25</v>
      </c>
      <c r="P8">
        <f t="shared" si="2"/>
        <v>3600</v>
      </c>
      <c r="Q8" s="8">
        <v>64</v>
      </c>
      <c r="R8">
        <f t="shared" si="3"/>
        <v>1728</v>
      </c>
      <c r="S8" s="8">
        <v>40</v>
      </c>
      <c r="T8">
        <f t="shared" si="4"/>
        <v>1440</v>
      </c>
      <c r="U8">
        <f t="shared" si="5"/>
        <v>6768</v>
      </c>
      <c r="V8">
        <f t="shared" si="6"/>
        <v>67.68</v>
      </c>
      <c r="W8">
        <f t="shared" si="7"/>
        <v>338.4</v>
      </c>
      <c r="X8" s="8"/>
      <c r="Y8">
        <f t="shared" si="8"/>
        <v>0</v>
      </c>
      <c r="Z8">
        <v>0</v>
      </c>
      <c r="AA8">
        <f t="shared" si="9"/>
        <v>6361.92</v>
      </c>
    </row>
    <row r="9" spans="1:27">
      <c r="A9">
        <v>6</v>
      </c>
      <c r="B9" s="4" t="s">
        <v>67</v>
      </c>
      <c r="C9" s="5" t="s">
        <v>68</v>
      </c>
      <c r="D9" s="4" t="s">
        <v>69</v>
      </c>
      <c r="E9" s="4" t="s">
        <v>70</v>
      </c>
      <c r="F9" t="s">
        <v>31</v>
      </c>
      <c r="G9" t="s">
        <v>71</v>
      </c>
      <c r="H9" s="7" t="s">
        <v>72</v>
      </c>
      <c r="I9" t="s">
        <v>73</v>
      </c>
      <c r="J9" t="s">
        <v>74</v>
      </c>
      <c r="K9" s="9">
        <v>15</v>
      </c>
      <c r="L9">
        <v>8</v>
      </c>
      <c r="M9">
        <f t="shared" si="0"/>
        <v>22.5</v>
      </c>
      <c r="N9">
        <f t="shared" si="1"/>
        <v>30</v>
      </c>
      <c r="O9" s="9">
        <v>26</v>
      </c>
      <c r="P9">
        <f t="shared" si="2"/>
        <v>3120</v>
      </c>
      <c r="Q9" s="9">
        <v>16</v>
      </c>
      <c r="R9">
        <f t="shared" si="3"/>
        <v>360</v>
      </c>
      <c r="S9" s="9">
        <v>23</v>
      </c>
      <c r="T9">
        <f t="shared" si="4"/>
        <v>690</v>
      </c>
      <c r="U9">
        <f t="shared" si="5"/>
        <v>4170</v>
      </c>
      <c r="V9">
        <f t="shared" si="6"/>
        <v>41.7</v>
      </c>
      <c r="W9">
        <f t="shared" si="7"/>
        <v>208.5</v>
      </c>
      <c r="X9" s="9">
        <v>500</v>
      </c>
      <c r="Y9">
        <f t="shared" si="8"/>
        <v>650</v>
      </c>
      <c r="Z9">
        <v>0</v>
      </c>
      <c r="AA9">
        <f t="shared" si="9"/>
        <v>3269.8</v>
      </c>
    </row>
    <row r="10" spans="1:27">
      <c r="A10">
        <v>7</v>
      </c>
      <c r="B10" s="4" t="s">
        <v>75</v>
      </c>
      <c r="C10" s="5" t="s">
        <v>76</v>
      </c>
      <c r="D10" s="4" t="s">
        <v>77</v>
      </c>
      <c r="E10" s="4" t="s">
        <v>70</v>
      </c>
      <c r="F10" t="s">
        <v>31</v>
      </c>
      <c r="G10" t="s">
        <v>78</v>
      </c>
      <c r="H10" s="7" t="s">
        <v>79</v>
      </c>
      <c r="I10" t="s">
        <v>80</v>
      </c>
      <c r="J10" t="s">
        <v>81</v>
      </c>
      <c r="K10" s="9">
        <v>15</v>
      </c>
      <c r="L10">
        <v>8</v>
      </c>
      <c r="M10">
        <f t="shared" si="0"/>
        <v>22.5</v>
      </c>
      <c r="N10">
        <f t="shared" si="1"/>
        <v>30</v>
      </c>
      <c r="O10" s="9">
        <v>25</v>
      </c>
      <c r="P10">
        <f t="shared" si="2"/>
        <v>3000</v>
      </c>
      <c r="Q10" s="9">
        <v>26</v>
      </c>
      <c r="R10">
        <f t="shared" si="3"/>
        <v>585</v>
      </c>
      <c r="S10" s="9">
        <v>17</v>
      </c>
      <c r="T10">
        <f t="shared" si="4"/>
        <v>510</v>
      </c>
      <c r="U10">
        <f t="shared" si="5"/>
        <v>4095</v>
      </c>
      <c r="V10">
        <f t="shared" si="6"/>
        <v>40.95</v>
      </c>
      <c r="W10">
        <f t="shared" si="7"/>
        <v>204.75</v>
      </c>
      <c r="X10" s="9">
        <v>500</v>
      </c>
      <c r="Y10">
        <f t="shared" si="8"/>
        <v>650</v>
      </c>
      <c r="Z10">
        <v>0</v>
      </c>
      <c r="AA10">
        <f t="shared" si="9"/>
        <v>3199.3</v>
      </c>
    </row>
    <row r="11" spans="1:27">
      <c r="A11">
        <v>8</v>
      </c>
      <c r="B11" s="3" t="s">
        <v>82</v>
      </c>
      <c r="C11" s="2" t="s">
        <v>83</v>
      </c>
      <c r="D11" s="3" t="s">
        <v>84</v>
      </c>
      <c r="E11" s="3" t="s">
        <v>39</v>
      </c>
      <c r="F11" t="s">
        <v>31</v>
      </c>
      <c r="G11" t="s">
        <v>85</v>
      </c>
      <c r="H11" s="7" t="s">
        <v>86</v>
      </c>
      <c r="I11" t="s">
        <v>87</v>
      </c>
      <c r="J11" t="s">
        <v>88</v>
      </c>
      <c r="K11" s="8">
        <v>11</v>
      </c>
      <c r="L11">
        <v>8</v>
      </c>
      <c r="M11">
        <f t="shared" si="0"/>
        <v>16.5</v>
      </c>
      <c r="N11">
        <f t="shared" si="1"/>
        <v>22</v>
      </c>
      <c r="O11" s="8">
        <v>26</v>
      </c>
      <c r="P11">
        <f t="shared" si="2"/>
        <v>2288</v>
      </c>
      <c r="Q11" s="8">
        <v>48</v>
      </c>
      <c r="R11">
        <f t="shared" si="3"/>
        <v>792</v>
      </c>
      <c r="S11" s="8">
        <v>41</v>
      </c>
      <c r="T11">
        <f t="shared" si="4"/>
        <v>902</v>
      </c>
      <c r="U11">
        <f t="shared" si="5"/>
        <v>3982</v>
      </c>
      <c r="V11">
        <f t="shared" si="6"/>
        <v>39.82</v>
      </c>
      <c r="W11">
        <f t="shared" si="7"/>
        <v>199.1</v>
      </c>
      <c r="X11" s="8"/>
      <c r="Y11">
        <f t="shared" si="8"/>
        <v>0</v>
      </c>
      <c r="Z11">
        <v>0</v>
      </c>
      <c r="AA11">
        <f t="shared" si="9"/>
        <v>3743.08</v>
      </c>
    </row>
    <row r="12" spans="1:27">
      <c r="A12">
        <v>9</v>
      </c>
      <c r="B12" s="3" t="s">
        <v>89</v>
      </c>
      <c r="C12" s="2" t="s">
        <v>90</v>
      </c>
      <c r="D12" s="3" t="s">
        <v>91</v>
      </c>
      <c r="E12" s="3" t="s">
        <v>92</v>
      </c>
      <c r="F12" t="s">
        <v>31</v>
      </c>
      <c r="G12" t="s">
        <v>93</v>
      </c>
      <c r="H12" s="7" t="s">
        <v>94</v>
      </c>
      <c r="I12" t="s">
        <v>95</v>
      </c>
      <c r="J12" t="s">
        <v>96</v>
      </c>
      <c r="K12" s="8">
        <v>14</v>
      </c>
      <c r="L12">
        <v>8</v>
      </c>
      <c r="M12">
        <f t="shared" si="0"/>
        <v>21</v>
      </c>
      <c r="N12">
        <f t="shared" si="1"/>
        <v>28</v>
      </c>
      <c r="O12" s="8">
        <v>26</v>
      </c>
      <c r="P12">
        <f t="shared" si="2"/>
        <v>2912</v>
      </c>
      <c r="Q12" s="8">
        <v>50</v>
      </c>
      <c r="R12">
        <f t="shared" si="3"/>
        <v>1050</v>
      </c>
      <c r="S12" s="8">
        <v>54</v>
      </c>
      <c r="T12">
        <f t="shared" si="4"/>
        <v>1512</v>
      </c>
      <c r="U12">
        <f t="shared" si="5"/>
        <v>5474</v>
      </c>
      <c r="V12">
        <f t="shared" si="6"/>
        <v>54.74</v>
      </c>
      <c r="W12">
        <f t="shared" si="7"/>
        <v>273.7</v>
      </c>
      <c r="X12" s="8">
        <v>1000</v>
      </c>
      <c r="Y12">
        <f t="shared" si="8"/>
        <v>1300</v>
      </c>
      <c r="Z12">
        <v>0</v>
      </c>
      <c r="AA12">
        <f t="shared" si="9"/>
        <v>3845.56</v>
      </c>
    </row>
    <row r="13" spans="1:27">
      <c r="A13">
        <v>10</v>
      </c>
      <c r="B13" s="3" t="s">
        <v>97</v>
      </c>
      <c r="C13" s="2" t="s">
        <v>98</v>
      </c>
      <c r="D13" s="3" t="s">
        <v>99</v>
      </c>
      <c r="E13" s="3" t="s">
        <v>100</v>
      </c>
      <c r="F13" t="s">
        <v>31</v>
      </c>
      <c r="G13" t="s">
        <v>101</v>
      </c>
      <c r="H13" s="7" t="s">
        <v>102</v>
      </c>
      <c r="I13" t="s">
        <v>103</v>
      </c>
      <c r="J13" t="s">
        <v>104</v>
      </c>
      <c r="K13" s="8">
        <v>11</v>
      </c>
      <c r="L13">
        <v>8</v>
      </c>
      <c r="M13">
        <f t="shared" si="0"/>
        <v>16.5</v>
      </c>
      <c r="N13">
        <f t="shared" si="1"/>
        <v>22</v>
      </c>
      <c r="O13" s="8">
        <v>22</v>
      </c>
      <c r="P13">
        <f t="shared" si="2"/>
        <v>1936</v>
      </c>
      <c r="Q13" s="8">
        <v>14</v>
      </c>
      <c r="R13">
        <f t="shared" si="3"/>
        <v>231</v>
      </c>
      <c r="S13" s="8">
        <v>7</v>
      </c>
      <c r="T13">
        <f t="shared" si="4"/>
        <v>154</v>
      </c>
      <c r="U13">
        <f t="shared" si="5"/>
        <v>2321</v>
      </c>
      <c r="V13">
        <f t="shared" si="6"/>
        <v>23.21</v>
      </c>
      <c r="W13">
        <f t="shared" si="7"/>
        <v>116.05</v>
      </c>
      <c r="X13" s="8"/>
      <c r="Y13">
        <f t="shared" si="8"/>
        <v>0</v>
      </c>
      <c r="Z13">
        <v>0</v>
      </c>
      <c r="AA13">
        <f t="shared" si="9"/>
        <v>2181.74</v>
      </c>
    </row>
    <row r="14" spans="1:27">
      <c r="A14">
        <v>11</v>
      </c>
      <c r="B14" s="3" t="s">
        <v>105</v>
      </c>
      <c r="C14" s="2" t="s">
        <v>106</v>
      </c>
      <c r="D14" s="3" t="s">
        <v>107</v>
      </c>
      <c r="E14" s="3" t="s">
        <v>100</v>
      </c>
      <c r="F14" t="s">
        <v>31</v>
      </c>
      <c r="G14" t="s">
        <v>108</v>
      </c>
      <c r="H14" s="7" t="s">
        <v>109</v>
      </c>
      <c r="I14" t="s">
        <v>110</v>
      </c>
      <c r="J14" t="s">
        <v>111</v>
      </c>
      <c r="K14" s="8">
        <v>11</v>
      </c>
      <c r="L14">
        <v>8</v>
      </c>
      <c r="M14">
        <f t="shared" si="0"/>
        <v>16.5</v>
      </c>
      <c r="N14">
        <f t="shared" si="1"/>
        <v>22</v>
      </c>
      <c r="O14" s="8">
        <v>26</v>
      </c>
      <c r="P14">
        <f t="shared" si="2"/>
        <v>2288</v>
      </c>
      <c r="Q14" s="8">
        <v>39</v>
      </c>
      <c r="R14">
        <f t="shared" si="3"/>
        <v>643.5</v>
      </c>
      <c r="S14" s="8">
        <v>18</v>
      </c>
      <c r="T14">
        <f t="shared" si="4"/>
        <v>396</v>
      </c>
      <c r="U14">
        <f t="shared" si="5"/>
        <v>3327.5</v>
      </c>
      <c r="V14">
        <f t="shared" si="6"/>
        <v>33.275</v>
      </c>
      <c r="W14">
        <f t="shared" si="7"/>
        <v>166.375</v>
      </c>
      <c r="X14" s="8"/>
      <c r="Y14">
        <f t="shared" si="8"/>
        <v>0</v>
      </c>
      <c r="Z14">
        <v>0</v>
      </c>
      <c r="AA14">
        <f t="shared" si="9"/>
        <v>3127.85</v>
      </c>
    </row>
    <row r="15" spans="1:27">
      <c r="A15">
        <v>12</v>
      </c>
      <c r="B15" s="3" t="s">
        <v>112</v>
      </c>
      <c r="C15" s="2" t="s">
        <v>113</v>
      </c>
      <c r="D15" s="3" t="s">
        <v>114</v>
      </c>
      <c r="E15" s="3" t="s">
        <v>100</v>
      </c>
      <c r="F15" t="s">
        <v>31</v>
      </c>
      <c r="G15" t="s">
        <v>115</v>
      </c>
      <c r="H15" s="7" t="s">
        <v>116</v>
      </c>
      <c r="I15" t="s">
        <v>117</v>
      </c>
      <c r="J15" t="s">
        <v>118</v>
      </c>
      <c r="K15" s="8">
        <v>11</v>
      </c>
      <c r="L15">
        <v>8</v>
      </c>
      <c r="M15">
        <f t="shared" si="0"/>
        <v>16.5</v>
      </c>
      <c r="N15">
        <f t="shared" si="1"/>
        <v>22</v>
      </c>
      <c r="O15" s="8">
        <v>17</v>
      </c>
      <c r="P15">
        <f t="shared" si="2"/>
        <v>1496</v>
      </c>
      <c r="Q15" s="8">
        <v>8</v>
      </c>
      <c r="R15">
        <f t="shared" si="3"/>
        <v>132</v>
      </c>
      <c r="S15" s="8">
        <v>9</v>
      </c>
      <c r="T15">
        <f t="shared" si="4"/>
        <v>198</v>
      </c>
      <c r="U15">
        <f t="shared" si="5"/>
        <v>1826</v>
      </c>
      <c r="V15">
        <f t="shared" si="6"/>
        <v>18.26</v>
      </c>
      <c r="W15">
        <f t="shared" si="7"/>
        <v>91.3</v>
      </c>
      <c r="X15" s="8">
        <v>1000</v>
      </c>
      <c r="Y15">
        <f t="shared" si="8"/>
        <v>1300</v>
      </c>
      <c r="Z15">
        <v>0</v>
      </c>
      <c r="AA15">
        <f t="shared" si="9"/>
        <v>416.44</v>
      </c>
    </row>
    <row r="16" spans="1:27">
      <c r="A16">
        <v>13</v>
      </c>
      <c r="B16" s="3" t="s">
        <v>119</v>
      </c>
      <c r="C16" s="2" t="s">
        <v>120</v>
      </c>
      <c r="D16" s="3" t="s">
        <v>121</v>
      </c>
      <c r="E16" s="3" t="s">
        <v>100</v>
      </c>
      <c r="F16" t="s">
        <v>31</v>
      </c>
      <c r="G16" t="s">
        <v>122</v>
      </c>
      <c r="H16" s="7" t="s">
        <v>123</v>
      </c>
      <c r="I16" t="s">
        <v>124</v>
      </c>
      <c r="J16" t="s">
        <v>125</v>
      </c>
      <c r="K16" s="8">
        <v>11</v>
      </c>
      <c r="L16">
        <v>8</v>
      </c>
      <c r="M16">
        <f t="shared" si="0"/>
        <v>16.5</v>
      </c>
      <c r="N16">
        <f t="shared" si="1"/>
        <v>22</v>
      </c>
      <c r="O16" s="8">
        <v>20</v>
      </c>
      <c r="P16">
        <f t="shared" si="2"/>
        <v>1760</v>
      </c>
      <c r="Q16" s="8">
        <v>18</v>
      </c>
      <c r="R16">
        <f t="shared" si="3"/>
        <v>297</v>
      </c>
      <c r="S16" s="8">
        <v>0</v>
      </c>
      <c r="T16">
        <f t="shared" si="4"/>
        <v>0</v>
      </c>
      <c r="U16">
        <f t="shared" si="5"/>
        <v>2057</v>
      </c>
      <c r="V16">
        <f t="shared" si="6"/>
        <v>20.57</v>
      </c>
      <c r="W16">
        <f t="shared" si="7"/>
        <v>102.85</v>
      </c>
      <c r="X16" s="8"/>
      <c r="Y16">
        <f t="shared" si="8"/>
        <v>0</v>
      </c>
      <c r="Z16">
        <v>0</v>
      </c>
      <c r="AA16">
        <f t="shared" si="9"/>
        <v>1933.58</v>
      </c>
    </row>
    <row r="17" spans="1:27">
      <c r="A17">
        <v>14</v>
      </c>
      <c r="B17" s="3" t="s">
        <v>126</v>
      </c>
      <c r="C17" s="2" t="s">
        <v>127</v>
      </c>
      <c r="D17" s="3" t="s">
        <v>128</v>
      </c>
      <c r="E17" s="3" t="s">
        <v>100</v>
      </c>
      <c r="F17" t="s">
        <v>31</v>
      </c>
      <c r="G17" t="s">
        <v>129</v>
      </c>
      <c r="H17" s="7" t="s">
        <v>130</v>
      </c>
      <c r="I17" t="s">
        <v>131</v>
      </c>
      <c r="J17" t="s">
        <v>132</v>
      </c>
      <c r="K17" s="8">
        <v>11</v>
      </c>
      <c r="L17">
        <v>8</v>
      </c>
      <c r="M17">
        <f t="shared" si="0"/>
        <v>16.5</v>
      </c>
      <c r="N17">
        <f t="shared" si="1"/>
        <v>22</v>
      </c>
      <c r="O17" s="8">
        <v>19</v>
      </c>
      <c r="P17">
        <f t="shared" si="2"/>
        <v>1672</v>
      </c>
      <c r="Q17" s="8">
        <v>28</v>
      </c>
      <c r="R17">
        <f t="shared" si="3"/>
        <v>462</v>
      </c>
      <c r="S17" s="8">
        <v>18</v>
      </c>
      <c r="T17">
        <f t="shared" si="4"/>
        <v>396</v>
      </c>
      <c r="U17">
        <f t="shared" si="5"/>
        <v>2530</v>
      </c>
      <c r="V17">
        <f t="shared" si="6"/>
        <v>25.3</v>
      </c>
      <c r="W17">
        <f t="shared" si="7"/>
        <v>126.5</v>
      </c>
      <c r="X17" s="8"/>
      <c r="Y17">
        <f t="shared" si="8"/>
        <v>0</v>
      </c>
      <c r="Z17">
        <v>0</v>
      </c>
      <c r="AA17">
        <f t="shared" si="9"/>
        <v>2378.2</v>
      </c>
    </row>
    <row r="18" spans="1:27">
      <c r="A18">
        <v>15</v>
      </c>
      <c r="B18" s="3" t="s">
        <v>133</v>
      </c>
      <c r="C18" s="2" t="s">
        <v>134</v>
      </c>
      <c r="D18" s="3" t="s">
        <v>135</v>
      </c>
      <c r="E18" s="3" t="s">
        <v>100</v>
      </c>
      <c r="F18" t="s">
        <v>31</v>
      </c>
      <c r="G18" t="s">
        <v>136</v>
      </c>
      <c r="H18" s="7" t="s">
        <v>137</v>
      </c>
      <c r="I18" t="s">
        <v>138</v>
      </c>
      <c r="J18" t="s">
        <v>139</v>
      </c>
      <c r="K18" s="8">
        <v>11</v>
      </c>
      <c r="L18">
        <v>8</v>
      </c>
      <c r="M18">
        <f t="shared" si="0"/>
        <v>16.5</v>
      </c>
      <c r="N18">
        <f t="shared" si="1"/>
        <v>22</v>
      </c>
      <c r="O18" s="8">
        <v>25</v>
      </c>
      <c r="P18">
        <f t="shared" si="2"/>
        <v>2200</v>
      </c>
      <c r="Q18" s="8">
        <v>34</v>
      </c>
      <c r="R18">
        <f t="shared" si="3"/>
        <v>561</v>
      </c>
      <c r="S18" s="8">
        <v>39</v>
      </c>
      <c r="T18">
        <f t="shared" si="4"/>
        <v>858</v>
      </c>
      <c r="U18">
        <f t="shared" si="5"/>
        <v>3619</v>
      </c>
      <c r="V18">
        <f t="shared" si="6"/>
        <v>36.19</v>
      </c>
      <c r="W18">
        <f t="shared" si="7"/>
        <v>180.95</v>
      </c>
      <c r="X18" s="8"/>
      <c r="Y18">
        <f t="shared" si="8"/>
        <v>0</v>
      </c>
      <c r="Z18">
        <v>0</v>
      </c>
      <c r="AA18">
        <f t="shared" si="9"/>
        <v>3401.86</v>
      </c>
    </row>
    <row r="19" spans="1:27">
      <c r="A19">
        <v>16</v>
      </c>
      <c r="B19" s="3" t="s">
        <v>140</v>
      </c>
      <c r="C19" s="2" t="s">
        <v>141</v>
      </c>
      <c r="D19" s="3" t="s">
        <v>142</v>
      </c>
      <c r="E19" s="3" t="s">
        <v>100</v>
      </c>
      <c r="F19" t="s">
        <v>31</v>
      </c>
      <c r="G19" t="s">
        <v>143</v>
      </c>
      <c r="H19" s="7" t="s">
        <v>144</v>
      </c>
      <c r="I19" t="s">
        <v>145</v>
      </c>
      <c r="J19" t="s">
        <v>146</v>
      </c>
      <c r="K19" s="8">
        <v>11</v>
      </c>
      <c r="L19">
        <v>8</v>
      </c>
      <c r="M19">
        <f t="shared" si="0"/>
        <v>16.5</v>
      </c>
      <c r="N19">
        <f t="shared" si="1"/>
        <v>22</v>
      </c>
      <c r="O19" s="8">
        <v>16</v>
      </c>
      <c r="P19">
        <f t="shared" si="2"/>
        <v>1408</v>
      </c>
      <c r="Q19" s="8">
        <v>32</v>
      </c>
      <c r="R19">
        <f t="shared" si="3"/>
        <v>528</v>
      </c>
      <c r="S19" s="8">
        <v>14</v>
      </c>
      <c r="T19">
        <f t="shared" si="4"/>
        <v>308</v>
      </c>
      <c r="U19">
        <f t="shared" si="5"/>
        <v>2244</v>
      </c>
      <c r="V19">
        <f t="shared" si="6"/>
        <v>22.44</v>
      </c>
      <c r="W19">
        <f>U19*0.05</f>
        <v>112.2</v>
      </c>
      <c r="X19" s="8"/>
      <c r="Y19">
        <f t="shared" si="8"/>
        <v>0</v>
      </c>
      <c r="Z19">
        <v>0</v>
      </c>
      <c r="AA19">
        <f t="shared" si="9"/>
        <v>2109.36</v>
      </c>
    </row>
    <row r="20" spans="1:1">
      <c r="A20" s="6" t="s">
        <v>147</v>
      </c>
    </row>
  </sheetData>
  <hyperlinks>
    <hyperlink ref="H4" r:id="rId1" display="1john@example.com"/>
    <hyperlink ref="H5" r:id="rId1" display="2john@example.com"/>
    <hyperlink ref="H6" r:id="rId1" display="3john@example.com"/>
    <hyperlink ref="H7" r:id="rId1" display="4john@example.com"/>
    <hyperlink ref="H8" r:id="rId1" display="5john@example.com"/>
    <hyperlink ref="H9" r:id="rId1" display="6john@example.com"/>
    <hyperlink ref="H10" r:id="rId1" display="7john@example.com"/>
    <hyperlink ref="H11" r:id="rId1" display="8john@example.com"/>
    <hyperlink ref="H12" r:id="rId1" display="9john@example.com"/>
    <hyperlink ref="H13" r:id="rId1" display="10john@example.com"/>
    <hyperlink ref="H14" r:id="rId1" display="11john@example.com"/>
    <hyperlink ref="H15" r:id="rId1" display="12john@example.com"/>
    <hyperlink ref="H16" r:id="rId1" display="13john@example.com"/>
    <hyperlink ref="H17" r:id="rId1" display="14john@example.com"/>
    <hyperlink ref="H18" r:id="rId1" display="15john@example.com"/>
    <hyperlink ref="H19" r:id="rId1" display="16john@examp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kanyanta</cp:lastModifiedBy>
  <dcterms:created xsi:type="dcterms:W3CDTF">2026-06-23T06:10:00Z</dcterms:created>
  <dcterms:modified xsi:type="dcterms:W3CDTF">2026-06-23T08:23:01Z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