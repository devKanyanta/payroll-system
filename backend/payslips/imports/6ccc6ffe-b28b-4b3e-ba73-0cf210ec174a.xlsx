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ac\Downloads\"/>
    </mc:Choice>
  </mc:AlternateContent>
  <xr:revisionPtr revIDLastSave="0" documentId="13_ncr:1_{3C5EBEE8-FFAD-4545-B287-1AA0BCE715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  <c r="Y46" i="1"/>
  <c r="T46" i="1"/>
  <c r="P46" i="1"/>
  <c r="M46" i="1"/>
  <c r="Y45" i="1"/>
  <c r="T45" i="1"/>
  <c r="P45" i="1"/>
  <c r="M45" i="1"/>
  <c r="Y44" i="1"/>
  <c r="T44" i="1"/>
  <c r="P44" i="1"/>
  <c r="M44" i="1"/>
  <c r="Y43" i="1"/>
  <c r="T43" i="1"/>
  <c r="P43" i="1"/>
  <c r="M43" i="1"/>
  <c r="Y42" i="1"/>
  <c r="T42" i="1"/>
  <c r="P42" i="1"/>
  <c r="M42" i="1"/>
  <c r="Y41" i="1"/>
  <c r="T41" i="1"/>
  <c r="P41" i="1"/>
  <c r="M41" i="1"/>
  <c r="Y40" i="1"/>
  <c r="T40" i="1"/>
  <c r="P40" i="1"/>
  <c r="M40" i="1"/>
  <c r="Y39" i="1"/>
  <c r="T39" i="1"/>
  <c r="P39" i="1"/>
  <c r="M39" i="1"/>
  <c r="Y38" i="1"/>
  <c r="T38" i="1"/>
  <c r="P38" i="1"/>
  <c r="M38" i="1"/>
  <c r="Y37" i="1"/>
  <c r="T37" i="1"/>
  <c r="P37" i="1"/>
  <c r="M37" i="1"/>
  <c r="Y36" i="1"/>
  <c r="T36" i="1"/>
  <c r="P36" i="1"/>
  <c r="M36" i="1"/>
  <c r="Y35" i="1"/>
  <c r="T35" i="1"/>
  <c r="P35" i="1"/>
  <c r="M35" i="1"/>
  <c r="Y34" i="1"/>
  <c r="T34" i="1"/>
  <c r="P34" i="1"/>
  <c r="M34" i="1"/>
  <c r="Y33" i="1"/>
  <c r="T33" i="1"/>
  <c r="P33" i="1"/>
  <c r="M33" i="1"/>
  <c r="Y32" i="1"/>
  <c r="T32" i="1"/>
  <c r="P32" i="1"/>
  <c r="M32" i="1"/>
  <c r="Y31" i="1"/>
  <c r="T31" i="1"/>
  <c r="P31" i="1"/>
  <c r="M31" i="1"/>
  <c r="Y30" i="1"/>
  <c r="T30" i="1"/>
  <c r="P30" i="1"/>
  <c r="M30" i="1"/>
  <c r="Y29" i="1"/>
  <c r="T29" i="1"/>
  <c r="P29" i="1"/>
  <c r="M29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M22" i="1"/>
  <c r="M23" i="1"/>
  <c r="M24" i="1"/>
  <c r="M25" i="1"/>
  <c r="M26" i="1"/>
  <c r="M27" i="1"/>
  <c r="M28" i="1"/>
  <c r="M2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R46" i="1" l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2" i="1"/>
  <c r="R23" i="1"/>
  <c r="R24" i="1"/>
  <c r="R25" i="1"/>
  <c r="R26" i="1"/>
  <c r="R27" i="1"/>
  <c r="R28" i="1"/>
  <c r="R21" i="1"/>
  <c r="T22" i="1"/>
  <c r="T23" i="1"/>
  <c r="T24" i="1"/>
  <c r="T25" i="1"/>
  <c r="T26" i="1"/>
  <c r="T27" i="1"/>
  <c r="T28" i="1"/>
  <c r="T21" i="1"/>
  <c r="U22" i="1"/>
  <c r="U23" i="1"/>
  <c r="U24" i="1"/>
  <c r="U26" i="1"/>
  <c r="U27" i="1"/>
  <c r="U28" i="1"/>
  <c r="U21" i="1"/>
  <c r="W22" i="1"/>
  <c r="W24" i="1"/>
  <c r="W28" i="1"/>
  <c r="V22" i="1"/>
  <c r="V24" i="1"/>
  <c r="V2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U46" i="1" l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5" i="1"/>
  <c r="W25" i="1" s="1"/>
  <c r="W23" i="1"/>
  <c r="W26" i="1"/>
  <c r="W27" i="1"/>
  <c r="W21" i="1"/>
  <c r="V23" i="1"/>
  <c r="V25" i="1"/>
  <c r="V26" i="1"/>
  <c r="V27" i="1"/>
  <c r="V21" i="1"/>
  <c r="AA22" i="1"/>
  <c r="AA24" i="1"/>
  <c r="AA28" i="1"/>
  <c r="U9" i="1"/>
  <c r="U10" i="1"/>
  <c r="U11" i="1"/>
  <c r="U13" i="1"/>
  <c r="U14" i="1"/>
  <c r="U15" i="1"/>
  <c r="U17" i="1"/>
  <c r="U18" i="1"/>
  <c r="U19" i="1"/>
  <c r="U20" i="1"/>
  <c r="U12" i="1"/>
  <c r="U16" i="1"/>
  <c r="U4" i="1"/>
  <c r="U5" i="1"/>
  <c r="U6" i="1"/>
  <c r="U7" i="1"/>
  <c r="U8" i="1"/>
  <c r="AA25" i="1" l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AA23" i="1"/>
  <c r="AA26" i="1"/>
  <c r="AA27" i="1"/>
  <c r="AA21" i="1"/>
  <c r="W4" i="1"/>
  <c r="V4" i="1"/>
  <c r="W5" i="1"/>
  <c r="V5" i="1"/>
  <c r="W9" i="1"/>
  <c r="V9" i="1"/>
  <c r="W10" i="1"/>
  <c r="V10" i="1"/>
  <c r="V11" i="1"/>
  <c r="W11" i="1"/>
  <c r="V13" i="1"/>
  <c r="W13" i="1"/>
  <c r="V14" i="1"/>
  <c r="W14" i="1"/>
  <c r="V15" i="1"/>
  <c r="W15" i="1"/>
  <c r="V17" i="1"/>
  <c r="W17" i="1"/>
  <c r="W18" i="1"/>
  <c r="V18" i="1"/>
  <c r="V19" i="1"/>
  <c r="W19" i="1"/>
  <c r="W20" i="1"/>
  <c r="V20" i="1"/>
  <c r="V12" i="1"/>
  <c r="W12" i="1"/>
  <c r="W6" i="1"/>
  <c r="V6" i="1"/>
  <c r="W7" i="1"/>
  <c r="V7" i="1"/>
  <c r="W8" i="1"/>
  <c r="V8" i="1"/>
  <c r="V16" i="1"/>
  <c r="W16" i="1"/>
  <c r="AA46" i="1" l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4" i="1"/>
  <c r="AA5" i="1"/>
  <c r="AA10" i="1"/>
  <c r="AA20" i="1"/>
  <c r="AA6" i="1"/>
  <c r="AA7" i="1"/>
  <c r="AA8" i="1"/>
  <c r="AA14" i="1"/>
  <c r="AA12" i="1"/>
  <c r="AA17" i="1"/>
  <c r="AA9" i="1"/>
  <c r="AA16" i="1"/>
  <c r="AA13" i="1"/>
  <c r="AA18" i="1"/>
  <c r="AA19" i="1"/>
  <c r="AA11" i="1"/>
  <c r="AA15" i="1"/>
</calcChain>
</file>

<file path=xl/sharedStrings.xml><?xml version="1.0" encoding="utf-8"?>
<sst xmlns="http://schemas.openxmlformats.org/spreadsheetml/2006/main" count="318" uniqueCount="217">
  <si>
    <t>S/N</t>
  </si>
  <si>
    <t>EMPLOYEE NUMBER</t>
  </si>
  <si>
    <t>NAMES</t>
  </si>
  <si>
    <t>NRC</t>
  </si>
  <si>
    <t>JOB TITTLE</t>
  </si>
  <si>
    <t>SITE</t>
  </si>
  <si>
    <t>PHONE NUMBER</t>
  </si>
  <si>
    <t>EMAIL</t>
  </si>
  <si>
    <t>ACCOUNT NUMBER</t>
  </si>
  <si>
    <t>SORT CODE</t>
  </si>
  <si>
    <t>RATE/HRS</t>
  </si>
  <si>
    <t>NORMAL WORKING HRS</t>
  </si>
  <si>
    <t>OVER TIME RATE</t>
  </si>
  <si>
    <t>HOLIDAY OVERTIME RATE</t>
  </si>
  <si>
    <t>PRESENT DAYS</t>
  </si>
  <si>
    <t>PRESENT AMOUNT</t>
  </si>
  <si>
    <t>OVERT TIME</t>
  </si>
  <si>
    <t>OVER TIME AMOUNT</t>
  </si>
  <si>
    <t>HOLIDAY OVER TIME</t>
  </si>
  <si>
    <t>HOLIDAY OVER TIME AMOUNT</t>
  </si>
  <si>
    <t>GROSS SALARY</t>
  </si>
  <si>
    <t>NHIMA</t>
  </si>
  <si>
    <t>NAPSA</t>
  </si>
  <si>
    <t>SOFT LOAN</t>
  </si>
  <si>
    <t>SOFT LOAN DEDUCTION</t>
  </si>
  <si>
    <t>OTHER DEDUCTION</t>
  </si>
  <si>
    <t>NET PAY</t>
  </si>
  <si>
    <t>PEARSON MUSONDA</t>
  </si>
  <si>
    <t>OWEN YOTAMU</t>
  </si>
  <si>
    <t>RONALD KACHUSHA</t>
  </si>
  <si>
    <t>EMMANUEL NGULUBE</t>
  </si>
  <si>
    <t>FELIX NGULUBE</t>
  </si>
  <si>
    <t>LUKUNDO MUSUKUMA</t>
  </si>
  <si>
    <t>KELVIS VISWAMO</t>
  </si>
  <si>
    <t>BROWN MUTEMBO</t>
  </si>
  <si>
    <t>ALINANI SIMBEYE</t>
  </si>
  <si>
    <t>JEFFITON CHILAMBWE</t>
  </si>
  <si>
    <t>ENOCK MUSONDA</t>
  </si>
  <si>
    <t>KELVIN KANYIKA</t>
  </si>
  <si>
    <t>JAMES CHIPISA</t>
  </si>
  <si>
    <t>SAMUEL MUTALE</t>
  </si>
  <si>
    <t>DERRICK MAMBWE</t>
  </si>
  <si>
    <t>GODWIN KASHALA</t>
  </si>
  <si>
    <t>FRANK M CHUSHI</t>
  </si>
  <si>
    <t>JOHN CHOLA</t>
  </si>
  <si>
    <t>GEOFREY BWALE</t>
  </si>
  <si>
    <t>LAVINSON CHAMA</t>
  </si>
  <si>
    <t>GEOFREY MULENGA</t>
  </si>
  <si>
    <t>TASILA BANDA</t>
  </si>
  <si>
    <t>JOSEPH MALULU</t>
  </si>
  <si>
    <t>SHADRICK CHITENGI</t>
  </si>
  <si>
    <t>NANCY MUSUKWA</t>
  </si>
  <si>
    <t>320902/66/1</t>
  </si>
  <si>
    <t>288616/66/1</t>
  </si>
  <si>
    <t>284711/66/1</t>
  </si>
  <si>
    <t>338749/24/1</t>
  </si>
  <si>
    <t>669946/67/1</t>
  </si>
  <si>
    <t>359631/66/1</t>
  </si>
  <si>
    <t>169602/22/1</t>
  </si>
  <si>
    <t>364722/66/1</t>
  </si>
  <si>
    <t>411276/66/1</t>
  </si>
  <si>
    <t>405012/66/1</t>
  </si>
  <si>
    <t>270825/32/1</t>
  </si>
  <si>
    <t>264961/63/1</t>
  </si>
  <si>
    <t>383589/66/1</t>
  </si>
  <si>
    <t>281464/66/1</t>
  </si>
  <si>
    <t>199829/31/1</t>
  </si>
  <si>
    <t>350691/64/1</t>
  </si>
  <si>
    <t>340142/66/1</t>
  </si>
  <si>
    <t>270177/66/1</t>
  </si>
  <si>
    <t>291631/66/1</t>
  </si>
  <si>
    <t>310440/66/1</t>
  </si>
  <si>
    <t>303863/66/1</t>
  </si>
  <si>
    <t>373274/66/1</t>
  </si>
  <si>
    <t>326782/66/1</t>
  </si>
  <si>
    <t>501868/22/1</t>
  </si>
  <si>
    <t>315125/66/1</t>
  </si>
  <si>
    <t>SCAFFOLDER</t>
  </si>
  <si>
    <t>SAFETY OFFICER</t>
  </si>
  <si>
    <t>WORKMAN</t>
  </si>
  <si>
    <t>OPERATOR</t>
  </si>
  <si>
    <t>RIGGER</t>
  </si>
  <si>
    <t>BRICKLAYER</t>
  </si>
  <si>
    <t>STEEL FIXER</t>
  </si>
  <si>
    <t>MASON</t>
  </si>
  <si>
    <t>CARPENTER</t>
  </si>
  <si>
    <t>TIME KEEPER</t>
  </si>
  <si>
    <t>BOILER MAKER</t>
  </si>
  <si>
    <t>TM/TIPPER DRIVER</t>
  </si>
  <si>
    <t>MUFULIRA</t>
  </si>
  <si>
    <t>MES0040</t>
  </si>
  <si>
    <t>MES0041</t>
  </si>
  <si>
    <t>MES0042</t>
  </si>
  <si>
    <t>MES0043</t>
  </si>
  <si>
    <t>MES0044</t>
  </si>
  <si>
    <t>MES0045</t>
  </si>
  <si>
    <t>MES0046</t>
  </si>
  <si>
    <t>MES0047</t>
  </si>
  <si>
    <t>MES0048</t>
  </si>
  <si>
    <t>MES0049</t>
  </si>
  <si>
    <t>MES0050</t>
  </si>
  <si>
    <t>MES0051</t>
  </si>
  <si>
    <t>MES0052</t>
  </si>
  <si>
    <t>MES0053</t>
  </si>
  <si>
    <t>MES0054</t>
  </si>
  <si>
    <t>MES0055</t>
  </si>
  <si>
    <t>MES0056</t>
  </si>
  <si>
    <t>MES0057</t>
  </si>
  <si>
    <t>MES0058</t>
  </si>
  <si>
    <t>MES0059</t>
  </si>
  <si>
    <t>MES0060</t>
  </si>
  <si>
    <t>MES0061</t>
  </si>
  <si>
    <t>MES0062</t>
  </si>
  <si>
    <t>MES0063</t>
  </si>
  <si>
    <t>MES0064</t>
  </si>
  <si>
    <t>0651871923201</t>
  </si>
  <si>
    <t>0651810613201</t>
  </si>
  <si>
    <t>0651876723201</t>
  </si>
  <si>
    <t>0651810583201</t>
  </si>
  <si>
    <t>0651810523201</t>
  </si>
  <si>
    <t>0081010011555</t>
  </si>
  <si>
    <t>1723502100286</t>
  </si>
  <si>
    <t>0651810623201</t>
  </si>
  <si>
    <t>0651810603201</t>
  </si>
  <si>
    <t>0651810563201</t>
  </si>
  <si>
    <t>0651810553201</t>
  </si>
  <si>
    <t>0651810653201</t>
  </si>
  <si>
    <t>0651810633201</t>
  </si>
  <si>
    <t>0651834533201</t>
  </si>
  <si>
    <t>0651876703201</t>
  </si>
  <si>
    <t>9130005932193</t>
  </si>
  <si>
    <t>0651834433201</t>
  </si>
  <si>
    <t>7502576100160</t>
  </si>
  <si>
    <t>0136593576028</t>
  </si>
  <si>
    <t>510565</t>
  </si>
  <si>
    <t>090208</t>
  </si>
  <si>
    <t>010245</t>
  </si>
  <si>
    <t>040514</t>
  </si>
  <si>
    <t>350558</t>
  </si>
  <si>
    <t>MES0014</t>
  </si>
  <si>
    <t>DANNY MULENGA</t>
  </si>
  <si>
    <t>319628/66/1</t>
  </si>
  <si>
    <t>63059667601</t>
  </si>
  <si>
    <t>260006</t>
  </si>
  <si>
    <t>MES0015</t>
  </si>
  <si>
    <t>EMMANUEL CHIPASHA</t>
  </si>
  <si>
    <t>403074/16/1</t>
  </si>
  <si>
    <t>9130007664609</t>
  </si>
  <si>
    <t>MES0016</t>
  </si>
  <si>
    <t>SIMON KASONGO</t>
  </si>
  <si>
    <t>103615/37/1</t>
  </si>
  <si>
    <t>0135986568013</t>
  </si>
  <si>
    <t>MES0017</t>
  </si>
  <si>
    <t>BIZWELL SICHALWE</t>
  </si>
  <si>
    <t>199683/66/1</t>
  </si>
  <si>
    <t>0135994560010</t>
  </si>
  <si>
    <t>MES0018</t>
  </si>
  <si>
    <t>MISHECK BANDA</t>
  </si>
  <si>
    <t>333280/66/1</t>
  </si>
  <si>
    <t>63143329810</t>
  </si>
  <si>
    <t>MES0019</t>
  </si>
  <si>
    <t>EVANS KONALA</t>
  </si>
  <si>
    <t>340632/66/1</t>
  </si>
  <si>
    <t>ASSISTANT</t>
  </si>
  <si>
    <t>0136029333012</t>
  </si>
  <si>
    <t>MES0020</t>
  </si>
  <si>
    <t>KENNETH MKANDAWIRE</t>
  </si>
  <si>
    <t>277926/67/1</t>
  </si>
  <si>
    <t>STORE MAN</t>
  </si>
  <si>
    <t>63009363522</t>
  </si>
  <si>
    <t>MES0021</t>
  </si>
  <si>
    <t>GIVEN CHIKONDE</t>
  </si>
  <si>
    <t>385276/66/1</t>
  </si>
  <si>
    <t>9130007935041</t>
  </si>
  <si>
    <t>MES0022</t>
  </si>
  <si>
    <t>CHALWE CHIBUYE</t>
  </si>
  <si>
    <t>350750/66/1</t>
  </si>
  <si>
    <t>FITTER</t>
  </si>
  <si>
    <t>0136425002018</t>
  </si>
  <si>
    <t>MES0023</t>
  </si>
  <si>
    <t>GILBERT LUNGU</t>
  </si>
  <si>
    <t>287225/66/1</t>
  </si>
  <si>
    <t>0091010002639</t>
  </si>
  <si>
    <t>MES0031</t>
  </si>
  <si>
    <t>KELVIN CHISOPA</t>
  </si>
  <si>
    <t>296242/66/1</t>
  </si>
  <si>
    <t>0651877003201</t>
  </si>
  <si>
    <t>MES0024</t>
  </si>
  <si>
    <t>EDWARD NKANDU</t>
  </si>
  <si>
    <t>113064/45/1</t>
  </si>
  <si>
    <t>MECHANIC</t>
  </si>
  <si>
    <t>0651712773201</t>
  </si>
  <si>
    <t>MES0025</t>
  </si>
  <si>
    <t>EDINA JERE</t>
  </si>
  <si>
    <t>376572/66/1</t>
  </si>
  <si>
    <t>0651810593201</t>
  </si>
  <si>
    <t>MES0026</t>
  </si>
  <si>
    <t>STEPHAN NYIRONGO</t>
  </si>
  <si>
    <t>520626/61/1</t>
  </si>
  <si>
    <t>0091010002649</t>
  </si>
  <si>
    <t>MES0027</t>
  </si>
  <si>
    <t>GREGORY CHABU</t>
  </si>
  <si>
    <t>445372/67/1</t>
  </si>
  <si>
    <t>9130007937370</t>
  </si>
  <si>
    <t>MES0028</t>
  </si>
  <si>
    <t>RODWELL SIMWANZA</t>
  </si>
  <si>
    <t>293671/66/1</t>
  </si>
  <si>
    <t>0136603547029</t>
  </si>
  <si>
    <t>MES0029</t>
  </si>
  <si>
    <t>FRANCIS MUMBA</t>
  </si>
  <si>
    <t>341230/66/1</t>
  </si>
  <si>
    <t>0136596058028</t>
  </si>
  <si>
    <t>MES0030</t>
  </si>
  <si>
    <t>HARRISON NDOLO</t>
  </si>
  <si>
    <t>320037/66/1</t>
  </si>
  <si>
    <t>ELECTRICIAN</t>
  </si>
  <si>
    <t>0091010003927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</si>
</sst>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charset val="134"/>
      <scheme val="minor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quotePrefix="1"/>
    <xf numFmtId="0" fontId="3" fillId="0" borderId="0" xfId="0" applyFont="1"/>
    <xf numFmtId="0" fontId="1" fillId="2" borderId="2" xfId="0" applyFont="1" applyFill="1" applyBorder="1"/>
    <xf numFmtId="0" fontId="0" fillId="0" borderId="0" xfId="0" applyBorder="1"/>
    <xf numFmtId="0" fontId="0" fillId="3" borderId="0" xfId="0" applyFill="1"/>
    <xf numFmtId="0" fontId="0" fillId="3" borderId="0" xfId="0" quotePrefix="1" applyFill="1"/>
  </cellXfs>
  <cellStyles count="2">
    <cellStyle name="Normal" xfId="0" builtinId="0"/>
    <cellStyle name="Normal 3" xfId="1" xr:uid="{EB3F4CC1-D059-40A5-A191-E62614B05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A4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47" sqref="I47"/>
    </sheetView>
  </sheetViews>
  <sheetFormatPr defaultRowHeight="14.4" x14ac:dyDescent="0.3"/>
  <cols>
    <col min="1" max="1" width="7.88671875" bestFit="1" customWidth="1"/>
    <col min="2" max="2" width="18.6640625" bestFit="1" customWidth="1"/>
    <col min="3" max="3" width="19.44140625" bestFit="1" customWidth="1"/>
    <col min="4" max="4" width="11" bestFit="1" customWidth="1"/>
    <col min="5" max="5" width="16.109375" bestFit="1" customWidth="1"/>
    <col min="6" max="6" width="9.44140625" bestFit="1" customWidth="1"/>
    <col min="7" max="7" width="15.44140625" bestFit="1" customWidth="1"/>
    <col min="8" max="8" width="16.5546875" bestFit="1" customWidth="1"/>
    <col min="9" max="9" width="17.77734375" bestFit="1" customWidth="1"/>
    <col min="10" max="10" width="11.21875" bestFit="1" customWidth="1"/>
    <col min="11" max="11" width="9.77734375" bestFit="1" customWidth="1"/>
    <col min="12" max="12" width="22.109375" bestFit="1" customWidth="1"/>
    <col min="13" max="13" width="15.77734375" bestFit="1" customWidth="1"/>
    <col min="14" max="14" width="23.6640625" bestFit="1" customWidth="1"/>
    <col min="15" max="15" width="14.33203125" bestFit="1" customWidth="1"/>
    <col min="16" max="16" width="17.33203125" bestFit="1" customWidth="1"/>
    <col min="17" max="17" width="11.77734375" bestFit="1" customWidth="1"/>
    <col min="18" max="18" width="19" bestFit="1" customWidth="1"/>
    <col min="19" max="19" width="19.109375" bestFit="1" customWidth="1"/>
    <col min="20" max="20" width="27.44140625" bestFit="1" customWidth="1"/>
    <col min="21" max="21" width="14.5546875" bestFit="1" customWidth="1"/>
    <col min="22" max="23" width="7" bestFit="1" customWidth="1"/>
    <col min="24" max="24" width="11" bestFit="1" customWidth="1"/>
    <col min="25" max="25" width="22" bestFit="1" customWidth="1"/>
    <col min="26" max="26" width="18" bestFit="1" customWidth="1"/>
    <col min="27" max="27" width="8.5546875" bestFit="1" customWidth="1"/>
  </cols>
  <sheetData>
    <row r="3" spans="1:27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4" t="s">
        <v>10</v>
      </c>
      <c r="L3" s="1" t="s">
        <v>11</v>
      </c>
      <c r="M3" s="1" t="s">
        <v>12</v>
      </c>
      <c r="N3" s="1" t="s">
        <v>13</v>
      </c>
      <c r="O3" s="4" t="s">
        <v>14</v>
      </c>
      <c r="P3" s="1" t="s">
        <v>15</v>
      </c>
      <c r="Q3" s="4" t="s">
        <v>16</v>
      </c>
      <c r="R3" s="1" t="s">
        <v>17</v>
      </c>
      <c r="S3" s="4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4" t="s">
        <v>23</v>
      </c>
      <c r="Y3" s="1" t="s">
        <v>24</v>
      </c>
      <c r="Z3" s="1" t="s">
        <v>25</v>
      </c>
      <c r="AA3" s="1" t="s">
        <v>26</v>
      </c>
    </row>
    <row r="4" spans="1:27" x14ac:dyDescent="0.3">
      <c r="A4">
        <v>1</v>
      </c>
      <c r="B4" t="s">
        <v>90</v>
      </c>
      <c r="C4" t="s">
        <v>27</v>
      </c>
      <c r="D4" t="s">
        <v>52</v>
      </c>
      <c r="E4" t="s">
        <v>77</v>
      </c>
      <c r="F4" t="s">
        <v>89</v>
      </c>
      <c r="I4" s="2" t="s">
        <v>115</v>
      </c>
      <c r="J4" s="2" t="s">
        <v>134</v>
      </c>
      <c r="K4">
        <v>13</v>
      </c>
      <c r="L4">
        <v>8</v>
      </c>
      <c r="M4">
        <f t="shared" ref="M4:M46" si="0">K4*1.5</f>
        <v>19.5</v>
      </c>
      <c r="N4">
        <f>K4*2</f>
        <v>26</v>
      </c>
      <c r="O4" s="5">
        <v>22</v>
      </c>
      <c r="P4">
        <f t="shared" ref="P4:P46" si="1">K4*L4*O4</f>
        <v>2288</v>
      </c>
      <c r="Q4" s="5">
        <v>42</v>
      </c>
      <c r="R4">
        <f t="shared" ref="R4:R46" si="2">Q4*M4</f>
        <v>819</v>
      </c>
      <c r="S4" s="5">
        <v>35</v>
      </c>
      <c r="T4">
        <f t="shared" ref="T4:T46" si="3">S4*N4</f>
        <v>910</v>
      </c>
      <c r="U4">
        <f t="shared" ref="U4:U46" si="4">P4+R4+T4</f>
        <v>4017</v>
      </c>
      <c r="V4">
        <f t="shared" ref="V4:V46" si="5">U4*1%</f>
        <v>40.17</v>
      </c>
      <c r="W4">
        <f t="shared" ref="W4:W46" si="6">U4*5%</f>
        <v>200.85000000000002</v>
      </c>
      <c r="X4" s="5">
        <v>1500</v>
      </c>
      <c r="Y4">
        <f>X4*0.3+X4</f>
        <v>1950</v>
      </c>
      <c r="AA4">
        <f t="shared" ref="AA4:AA46" si="7">U4-V4-W4-Y4-Z4</f>
        <v>1825.98</v>
      </c>
    </row>
    <row r="5" spans="1:27" x14ac:dyDescent="0.3">
      <c r="A5">
        <v>2</v>
      </c>
      <c r="B5" t="s">
        <v>91</v>
      </c>
      <c r="C5" t="s">
        <v>28</v>
      </c>
      <c r="D5" t="s">
        <v>53</v>
      </c>
      <c r="E5" t="s">
        <v>77</v>
      </c>
      <c r="F5" t="s">
        <v>89</v>
      </c>
      <c r="I5" s="2" t="s">
        <v>116</v>
      </c>
      <c r="J5" s="2" t="s">
        <v>134</v>
      </c>
      <c r="K5">
        <v>13</v>
      </c>
      <c r="L5">
        <v>8</v>
      </c>
      <c r="M5">
        <f t="shared" si="0"/>
        <v>19.5</v>
      </c>
      <c r="N5">
        <f t="shared" ref="N5:N28" si="8">K5*2</f>
        <v>26</v>
      </c>
      <c r="O5" s="5">
        <v>21</v>
      </c>
      <c r="P5">
        <f t="shared" si="1"/>
        <v>2184</v>
      </c>
      <c r="Q5" s="5">
        <v>34</v>
      </c>
      <c r="R5">
        <f t="shared" si="2"/>
        <v>663</v>
      </c>
      <c r="S5" s="5">
        <v>19</v>
      </c>
      <c r="T5">
        <f t="shared" si="3"/>
        <v>494</v>
      </c>
      <c r="U5">
        <f t="shared" si="4"/>
        <v>3341</v>
      </c>
      <c r="V5">
        <f t="shared" si="5"/>
        <v>33.410000000000004</v>
      </c>
      <c r="W5">
        <f t="shared" si="6"/>
        <v>167.05</v>
      </c>
      <c r="X5" s="5">
        <v>500</v>
      </c>
      <c r="Y5">
        <f t="shared" ref="Y5:Y46" si="9">X5*0.3+X5</f>
        <v>650</v>
      </c>
      <c r="AA5">
        <f t="shared" si="7"/>
        <v>2490.54</v>
      </c>
    </row>
    <row r="6" spans="1:27" x14ac:dyDescent="0.3">
      <c r="A6">
        <v>3</v>
      </c>
      <c r="B6" t="s">
        <v>92</v>
      </c>
      <c r="C6" t="s">
        <v>29</v>
      </c>
      <c r="D6" t="s">
        <v>54</v>
      </c>
      <c r="E6" t="s">
        <v>78</v>
      </c>
      <c r="F6" t="s">
        <v>89</v>
      </c>
      <c r="I6" s="2" t="s">
        <v>117</v>
      </c>
      <c r="J6" s="2" t="s">
        <v>134</v>
      </c>
      <c r="K6">
        <v>18</v>
      </c>
      <c r="L6">
        <v>8</v>
      </c>
      <c r="M6">
        <f t="shared" si="0"/>
        <v>27</v>
      </c>
      <c r="N6">
        <f t="shared" si="8"/>
        <v>36</v>
      </c>
      <c r="O6" s="5">
        <v>14</v>
      </c>
      <c r="P6">
        <f t="shared" si="1"/>
        <v>2016</v>
      </c>
      <c r="Q6" s="5">
        <v>28</v>
      </c>
      <c r="R6">
        <f t="shared" si="2"/>
        <v>756</v>
      </c>
      <c r="S6" s="5">
        <v>0</v>
      </c>
      <c r="T6">
        <f t="shared" si="3"/>
        <v>0</v>
      </c>
      <c r="U6">
        <f t="shared" si="4"/>
        <v>2772</v>
      </c>
      <c r="V6">
        <f t="shared" si="5"/>
        <v>27.72</v>
      </c>
      <c r="W6">
        <f t="shared" si="6"/>
        <v>138.6</v>
      </c>
      <c r="X6" s="5">
        <v>1500</v>
      </c>
      <c r="Y6">
        <f t="shared" si="9"/>
        <v>1950</v>
      </c>
      <c r="AA6">
        <f t="shared" si="7"/>
        <v>655.68000000000029</v>
      </c>
    </row>
    <row r="7" spans="1:27" x14ac:dyDescent="0.3">
      <c r="A7">
        <v>4</v>
      </c>
      <c r="B7" t="s">
        <v>93</v>
      </c>
      <c r="C7" t="s">
        <v>30</v>
      </c>
      <c r="D7" t="s">
        <v>55</v>
      </c>
      <c r="E7" t="s">
        <v>79</v>
      </c>
      <c r="F7" t="s">
        <v>89</v>
      </c>
      <c r="I7" s="2" t="s">
        <v>118</v>
      </c>
      <c r="J7" s="2" t="s">
        <v>134</v>
      </c>
      <c r="K7">
        <v>11</v>
      </c>
      <c r="L7">
        <v>8</v>
      </c>
      <c r="M7">
        <f t="shared" si="0"/>
        <v>16.5</v>
      </c>
      <c r="N7">
        <f t="shared" si="8"/>
        <v>22</v>
      </c>
      <c r="O7" s="5">
        <v>15</v>
      </c>
      <c r="P7">
        <f t="shared" si="1"/>
        <v>1320</v>
      </c>
      <c r="Q7" s="5">
        <v>45</v>
      </c>
      <c r="R7">
        <f t="shared" si="2"/>
        <v>742.5</v>
      </c>
      <c r="S7" s="5">
        <v>8</v>
      </c>
      <c r="T7">
        <f t="shared" si="3"/>
        <v>176</v>
      </c>
      <c r="U7">
        <f t="shared" si="4"/>
        <v>2238.5</v>
      </c>
      <c r="V7">
        <f t="shared" si="5"/>
        <v>22.385000000000002</v>
      </c>
      <c r="W7">
        <f t="shared" si="6"/>
        <v>111.92500000000001</v>
      </c>
      <c r="X7" s="5"/>
      <c r="Y7">
        <f t="shared" si="9"/>
        <v>0</v>
      </c>
      <c r="AA7">
        <f t="shared" si="7"/>
        <v>2104.1899999999996</v>
      </c>
    </row>
    <row r="8" spans="1:27" x14ac:dyDescent="0.3">
      <c r="A8">
        <v>5</v>
      </c>
      <c r="B8" t="s">
        <v>94</v>
      </c>
      <c r="C8" t="s">
        <v>31</v>
      </c>
      <c r="D8" t="s">
        <v>56</v>
      </c>
      <c r="E8" t="s">
        <v>79</v>
      </c>
      <c r="F8" t="s">
        <v>89</v>
      </c>
      <c r="I8" s="2" t="s">
        <v>119</v>
      </c>
      <c r="J8" s="2" t="s">
        <v>134</v>
      </c>
      <c r="K8">
        <v>11</v>
      </c>
      <c r="L8">
        <v>8</v>
      </c>
      <c r="M8">
        <f t="shared" si="0"/>
        <v>16.5</v>
      </c>
      <c r="N8">
        <f t="shared" si="8"/>
        <v>22</v>
      </c>
      <c r="O8" s="5">
        <v>9</v>
      </c>
      <c r="P8">
        <f t="shared" si="1"/>
        <v>792</v>
      </c>
      <c r="Q8" s="5">
        <v>8</v>
      </c>
      <c r="R8">
        <f t="shared" si="2"/>
        <v>132</v>
      </c>
      <c r="S8" s="5">
        <v>12</v>
      </c>
      <c r="T8">
        <f t="shared" si="3"/>
        <v>264</v>
      </c>
      <c r="U8">
        <f t="shared" si="4"/>
        <v>1188</v>
      </c>
      <c r="V8">
        <f t="shared" si="5"/>
        <v>11.88</v>
      </c>
      <c r="W8">
        <f t="shared" si="6"/>
        <v>59.400000000000006</v>
      </c>
      <c r="X8" s="5"/>
      <c r="Y8">
        <f t="shared" si="9"/>
        <v>0</v>
      </c>
      <c r="AA8">
        <f t="shared" si="7"/>
        <v>1116.7199999999998</v>
      </c>
    </row>
    <row r="9" spans="1:27" x14ac:dyDescent="0.3">
      <c r="A9">
        <v>6</v>
      </c>
      <c r="B9" t="s">
        <v>95</v>
      </c>
      <c r="C9" t="s">
        <v>32</v>
      </c>
      <c r="D9" t="s">
        <v>57</v>
      </c>
      <c r="E9" t="s">
        <v>79</v>
      </c>
      <c r="F9" t="s">
        <v>89</v>
      </c>
      <c r="I9" s="2" t="s">
        <v>120</v>
      </c>
      <c r="J9" s="2" t="s">
        <v>135</v>
      </c>
      <c r="K9">
        <v>11</v>
      </c>
      <c r="L9">
        <v>8</v>
      </c>
      <c r="M9">
        <f t="shared" si="0"/>
        <v>16.5</v>
      </c>
      <c r="N9">
        <f t="shared" si="8"/>
        <v>22</v>
      </c>
      <c r="O9" s="5">
        <v>22</v>
      </c>
      <c r="P9">
        <f t="shared" si="1"/>
        <v>1936</v>
      </c>
      <c r="Q9" s="5">
        <v>38</v>
      </c>
      <c r="R9">
        <f t="shared" si="2"/>
        <v>627</v>
      </c>
      <c r="S9" s="5">
        <v>22</v>
      </c>
      <c r="T9">
        <f t="shared" si="3"/>
        <v>484</v>
      </c>
      <c r="U9">
        <f t="shared" si="4"/>
        <v>3047</v>
      </c>
      <c r="V9">
        <f t="shared" si="5"/>
        <v>30.47</v>
      </c>
      <c r="W9">
        <f t="shared" si="6"/>
        <v>152.35</v>
      </c>
      <c r="X9" s="5"/>
      <c r="Y9">
        <f t="shared" si="9"/>
        <v>0</v>
      </c>
      <c r="AA9">
        <f t="shared" si="7"/>
        <v>2864.1800000000003</v>
      </c>
    </row>
    <row r="10" spans="1:27" x14ac:dyDescent="0.3">
      <c r="A10">
        <v>7</v>
      </c>
      <c r="B10" t="s">
        <v>96</v>
      </c>
      <c r="C10" t="s">
        <v>33</v>
      </c>
      <c r="D10" t="s">
        <v>58</v>
      </c>
      <c r="E10" t="s">
        <v>80</v>
      </c>
      <c r="F10" t="s">
        <v>89</v>
      </c>
      <c r="I10" s="2" t="s">
        <v>121</v>
      </c>
      <c r="J10" s="2" t="s">
        <v>136</v>
      </c>
      <c r="K10">
        <v>34</v>
      </c>
      <c r="L10">
        <v>8</v>
      </c>
      <c r="M10">
        <f t="shared" si="0"/>
        <v>51</v>
      </c>
      <c r="N10">
        <f t="shared" si="8"/>
        <v>68</v>
      </c>
      <c r="O10" s="5">
        <v>22</v>
      </c>
      <c r="P10">
        <f t="shared" si="1"/>
        <v>5984</v>
      </c>
      <c r="Q10" s="5">
        <v>78</v>
      </c>
      <c r="R10">
        <f t="shared" si="2"/>
        <v>3978</v>
      </c>
      <c r="S10" s="5">
        <v>8</v>
      </c>
      <c r="T10">
        <f t="shared" si="3"/>
        <v>544</v>
      </c>
      <c r="U10">
        <f t="shared" si="4"/>
        <v>10506</v>
      </c>
      <c r="V10">
        <f t="shared" si="5"/>
        <v>105.06</v>
      </c>
      <c r="W10">
        <f t="shared" si="6"/>
        <v>525.30000000000007</v>
      </c>
      <c r="X10" s="5"/>
      <c r="Y10">
        <f t="shared" si="9"/>
        <v>0</v>
      </c>
      <c r="AA10">
        <f t="shared" si="7"/>
        <v>9875.6400000000012</v>
      </c>
    </row>
    <row r="11" spans="1:27" x14ac:dyDescent="0.3">
      <c r="A11">
        <v>8</v>
      </c>
      <c r="B11" t="s">
        <v>97</v>
      </c>
      <c r="C11" t="s">
        <v>34</v>
      </c>
      <c r="D11" t="s">
        <v>59</v>
      </c>
      <c r="E11" t="s">
        <v>81</v>
      </c>
      <c r="F11" t="s">
        <v>89</v>
      </c>
      <c r="I11" s="2" t="s">
        <v>122</v>
      </c>
      <c r="J11" s="2" t="s">
        <v>134</v>
      </c>
      <c r="K11">
        <v>14</v>
      </c>
      <c r="L11">
        <v>8</v>
      </c>
      <c r="M11">
        <f t="shared" si="0"/>
        <v>21</v>
      </c>
      <c r="N11">
        <f t="shared" si="8"/>
        <v>28</v>
      </c>
      <c r="O11" s="5">
        <v>19</v>
      </c>
      <c r="P11">
        <f t="shared" si="1"/>
        <v>2128</v>
      </c>
      <c r="Q11" s="5">
        <v>33</v>
      </c>
      <c r="R11">
        <f t="shared" si="2"/>
        <v>693</v>
      </c>
      <c r="S11" s="5">
        <v>25</v>
      </c>
      <c r="T11">
        <f t="shared" si="3"/>
        <v>700</v>
      </c>
      <c r="U11">
        <f t="shared" si="4"/>
        <v>3521</v>
      </c>
      <c r="V11">
        <f t="shared" si="5"/>
        <v>35.21</v>
      </c>
      <c r="W11">
        <f t="shared" si="6"/>
        <v>176.05</v>
      </c>
      <c r="X11" s="5"/>
      <c r="Y11">
        <f t="shared" si="9"/>
        <v>0</v>
      </c>
      <c r="AA11">
        <f t="shared" si="7"/>
        <v>3309.74</v>
      </c>
    </row>
    <row r="12" spans="1:27" x14ac:dyDescent="0.3">
      <c r="A12">
        <v>9</v>
      </c>
      <c r="B12" t="s">
        <v>98</v>
      </c>
      <c r="C12" t="s">
        <v>35</v>
      </c>
      <c r="D12" t="s">
        <v>60</v>
      </c>
      <c r="E12" t="s">
        <v>79</v>
      </c>
      <c r="F12" t="s">
        <v>89</v>
      </c>
      <c r="I12" s="2" t="s">
        <v>123</v>
      </c>
      <c r="J12" s="2" t="s">
        <v>134</v>
      </c>
      <c r="K12">
        <v>11</v>
      </c>
      <c r="L12">
        <v>8</v>
      </c>
      <c r="M12">
        <f t="shared" si="0"/>
        <v>16.5</v>
      </c>
      <c r="N12">
        <f t="shared" si="8"/>
        <v>22</v>
      </c>
      <c r="O12" s="5">
        <v>23</v>
      </c>
      <c r="P12">
        <f t="shared" si="1"/>
        <v>2024</v>
      </c>
      <c r="Q12" s="5">
        <v>43</v>
      </c>
      <c r="R12">
        <f t="shared" si="2"/>
        <v>709.5</v>
      </c>
      <c r="S12" s="5">
        <v>18</v>
      </c>
      <c r="T12">
        <f t="shared" si="3"/>
        <v>396</v>
      </c>
      <c r="U12">
        <f t="shared" si="4"/>
        <v>3129.5</v>
      </c>
      <c r="V12">
        <f t="shared" si="5"/>
        <v>31.295000000000002</v>
      </c>
      <c r="W12">
        <f t="shared" si="6"/>
        <v>156.47500000000002</v>
      </c>
      <c r="X12" s="5">
        <v>2000</v>
      </c>
      <c r="Y12">
        <f t="shared" si="9"/>
        <v>2600</v>
      </c>
      <c r="AA12">
        <f t="shared" si="7"/>
        <v>341.73</v>
      </c>
    </row>
    <row r="13" spans="1:27" x14ac:dyDescent="0.3">
      <c r="A13">
        <v>10</v>
      </c>
      <c r="B13" t="s">
        <v>99</v>
      </c>
      <c r="C13" t="s">
        <v>36</v>
      </c>
      <c r="D13" t="s">
        <v>61</v>
      </c>
      <c r="E13" t="s">
        <v>79</v>
      </c>
      <c r="F13" t="s">
        <v>89</v>
      </c>
      <c r="I13" s="2" t="s">
        <v>124</v>
      </c>
      <c r="J13" s="2" t="s">
        <v>134</v>
      </c>
      <c r="K13">
        <v>11</v>
      </c>
      <c r="L13">
        <v>8</v>
      </c>
      <c r="M13">
        <f t="shared" si="0"/>
        <v>16.5</v>
      </c>
      <c r="N13">
        <f t="shared" si="8"/>
        <v>22</v>
      </c>
      <c r="O13" s="5">
        <v>21</v>
      </c>
      <c r="P13">
        <f t="shared" si="1"/>
        <v>1848</v>
      </c>
      <c r="Q13" s="5">
        <v>47</v>
      </c>
      <c r="R13">
        <f t="shared" si="2"/>
        <v>775.5</v>
      </c>
      <c r="S13" s="5">
        <v>10</v>
      </c>
      <c r="T13">
        <f t="shared" si="3"/>
        <v>220</v>
      </c>
      <c r="U13">
        <f t="shared" si="4"/>
        <v>2843.5</v>
      </c>
      <c r="V13">
        <f t="shared" si="5"/>
        <v>28.435000000000002</v>
      </c>
      <c r="W13">
        <f t="shared" si="6"/>
        <v>142.17500000000001</v>
      </c>
      <c r="X13" s="5"/>
      <c r="Y13">
        <f t="shared" si="9"/>
        <v>0</v>
      </c>
      <c r="AA13">
        <f t="shared" si="7"/>
        <v>2672.89</v>
      </c>
    </row>
    <row r="14" spans="1:27" x14ac:dyDescent="0.3">
      <c r="A14">
        <v>11</v>
      </c>
      <c r="B14" t="s">
        <v>100</v>
      </c>
      <c r="C14" t="s">
        <v>37</v>
      </c>
      <c r="D14" t="s">
        <v>62</v>
      </c>
      <c r="E14" t="s">
        <v>82</v>
      </c>
      <c r="F14" t="s">
        <v>89</v>
      </c>
      <c r="I14" s="2" t="s">
        <v>125</v>
      </c>
      <c r="J14" s="2" t="s">
        <v>134</v>
      </c>
      <c r="K14">
        <v>14.5</v>
      </c>
      <c r="L14">
        <v>8</v>
      </c>
      <c r="M14">
        <f t="shared" si="0"/>
        <v>21.75</v>
      </c>
      <c r="N14">
        <f t="shared" si="8"/>
        <v>29</v>
      </c>
      <c r="O14" s="5">
        <v>13</v>
      </c>
      <c r="P14">
        <f t="shared" si="1"/>
        <v>1508</v>
      </c>
      <c r="Q14" s="5">
        <v>8</v>
      </c>
      <c r="R14">
        <f t="shared" si="2"/>
        <v>174</v>
      </c>
      <c r="S14" s="5">
        <v>8</v>
      </c>
      <c r="T14">
        <f t="shared" si="3"/>
        <v>232</v>
      </c>
      <c r="U14">
        <f t="shared" si="4"/>
        <v>1914</v>
      </c>
      <c r="V14">
        <f t="shared" si="5"/>
        <v>19.14</v>
      </c>
      <c r="W14">
        <f t="shared" si="6"/>
        <v>95.7</v>
      </c>
      <c r="X14" s="5">
        <v>500</v>
      </c>
      <c r="Y14">
        <f t="shared" si="9"/>
        <v>650</v>
      </c>
      <c r="AA14">
        <f t="shared" si="7"/>
        <v>1149.1599999999999</v>
      </c>
    </row>
    <row r="15" spans="1:27" x14ac:dyDescent="0.3">
      <c r="A15">
        <v>12</v>
      </c>
      <c r="B15" t="s">
        <v>101</v>
      </c>
      <c r="C15" t="s">
        <v>38</v>
      </c>
      <c r="D15" t="s">
        <v>63</v>
      </c>
      <c r="E15" t="s">
        <v>79</v>
      </c>
      <c r="F15" t="s">
        <v>89</v>
      </c>
      <c r="I15" s="2" t="s">
        <v>126</v>
      </c>
      <c r="J15" s="2" t="s">
        <v>134</v>
      </c>
      <c r="K15">
        <v>11</v>
      </c>
      <c r="L15">
        <v>8</v>
      </c>
      <c r="M15">
        <f t="shared" si="0"/>
        <v>16.5</v>
      </c>
      <c r="N15">
        <f t="shared" si="8"/>
        <v>22</v>
      </c>
      <c r="O15" s="5">
        <v>22</v>
      </c>
      <c r="P15">
        <f t="shared" si="1"/>
        <v>1936</v>
      </c>
      <c r="Q15" s="5">
        <v>31</v>
      </c>
      <c r="R15">
        <f t="shared" si="2"/>
        <v>511.5</v>
      </c>
      <c r="S15" s="5">
        <v>21</v>
      </c>
      <c r="T15">
        <f t="shared" si="3"/>
        <v>462</v>
      </c>
      <c r="U15">
        <f t="shared" si="4"/>
        <v>2909.5</v>
      </c>
      <c r="V15">
        <f t="shared" si="5"/>
        <v>29.094999999999999</v>
      </c>
      <c r="W15">
        <f t="shared" si="6"/>
        <v>145.47499999999999</v>
      </c>
      <c r="X15" s="5"/>
      <c r="Y15">
        <f t="shared" si="9"/>
        <v>0</v>
      </c>
      <c r="AA15">
        <f t="shared" si="7"/>
        <v>2734.9300000000003</v>
      </c>
    </row>
    <row r="16" spans="1:27" x14ac:dyDescent="0.3">
      <c r="A16">
        <v>13</v>
      </c>
      <c r="B16" t="s">
        <v>102</v>
      </c>
      <c r="C16" t="s">
        <v>39</v>
      </c>
      <c r="D16" t="s">
        <v>64</v>
      </c>
      <c r="E16" t="s">
        <v>79</v>
      </c>
      <c r="F16" t="s">
        <v>89</v>
      </c>
      <c r="I16" s="2" t="s">
        <v>127</v>
      </c>
      <c r="J16" s="2" t="s">
        <v>134</v>
      </c>
      <c r="K16">
        <v>11</v>
      </c>
      <c r="L16">
        <v>8</v>
      </c>
      <c r="M16">
        <f t="shared" si="0"/>
        <v>16.5</v>
      </c>
      <c r="N16">
        <f t="shared" si="8"/>
        <v>22</v>
      </c>
      <c r="O16" s="5">
        <v>21</v>
      </c>
      <c r="P16">
        <f t="shared" si="1"/>
        <v>1848</v>
      </c>
      <c r="Q16" s="5">
        <v>38</v>
      </c>
      <c r="R16">
        <f t="shared" si="2"/>
        <v>627</v>
      </c>
      <c r="S16" s="5">
        <v>5</v>
      </c>
      <c r="T16">
        <f t="shared" si="3"/>
        <v>110</v>
      </c>
      <c r="U16">
        <f t="shared" si="4"/>
        <v>2585</v>
      </c>
      <c r="V16">
        <f t="shared" si="5"/>
        <v>25.85</v>
      </c>
      <c r="W16">
        <f t="shared" si="6"/>
        <v>129.25</v>
      </c>
      <c r="X16" s="5"/>
      <c r="Y16">
        <f t="shared" si="9"/>
        <v>0</v>
      </c>
      <c r="AA16">
        <f t="shared" si="7"/>
        <v>2429.9</v>
      </c>
    </row>
    <row r="17" spans="1:27" x14ac:dyDescent="0.3">
      <c r="A17">
        <v>14</v>
      </c>
      <c r="B17" t="s">
        <v>103</v>
      </c>
      <c r="C17" t="s">
        <v>40</v>
      </c>
      <c r="D17" t="s">
        <v>65</v>
      </c>
      <c r="E17" t="s">
        <v>77</v>
      </c>
      <c r="F17" t="s">
        <v>89</v>
      </c>
      <c r="I17" s="2" t="s">
        <v>128</v>
      </c>
      <c r="J17" s="2" t="s">
        <v>134</v>
      </c>
      <c r="K17">
        <v>13</v>
      </c>
      <c r="L17">
        <v>8</v>
      </c>
      <c r="M17">
        <f t="shared" si="0"/>
        <v>19.5</v>
      </c>
      <c r="N17">
        <f t="shared" si="8"/>
        <v>26</v>
      </c>
      <c r="O17" s="5">
        <v>21</v>
      </c>
      <c r="P17">
        <f t="shared" si="1"/>
        <v>2184</v>
      </c>
      <c r="Q17" s="5">
        <v>31</v>
      </c>
      <c r="R17">
        <f t="shared" si="2"/>
        <v>604.5</v>
      </c>
      <c r="S17" s="5">
        <v>5</v>
      </c>
      <c r="T17">
        <f t="shared" si="3"/>
        <v>130</v>
      </c>
      <c r="U17">
        <f t="shared" si="4"/>
        <v>2918.5</v>
      </c>
      <c r="V17">
        <f t="shared" si="5"/>
        <v>29.185000000000002</v>
      </c>
      <c r="W17">
        <f t="shared" si="6"/>
        <v>145.92500000000001</v>
      </c>
      <c r="X17" s="5"/>
      <c r="Y17">
        <f t="shared" si="9"/>
        <v>0</v>
      </c>
      <c r="AA17">
        <f t="shared" si="7"/>
        <v>2743.39</v>
      </c>
    </row>
    <row r="18" spans="1:27" x14ac:dyDescent="0.3">
      <c r="A18">
        <v>15</v>
      </c>
      <c r="B18" t="s">
        <v>104</v>
      </c>
      <c r="C18" t="s">
        <v>41</v>
      </c>
      <c r="D18" t="s">
        <v>66</v>
      </c>
      <c r="E18" t="s">
        <v>83</v>
      </c>
      <c r="F18" t="s">
        <v>89</v>
      </c>
      <c r="K18">
        <v>14.5</v>
      </c>
      <c r="L18">
        <v>8</v>
      </c>
      <c r="M18">
        <f t="shared" si="0"/>
        <v>21.75</v>
      </c>
      <c r="N18">
        <f t="shared" si="8"/>
        <v>29</v>
      </c>
      <c r="O18" s="5">
        <v>1</v>
      </c>
      <c r="P18">
        <f t="shared" si="1"/>
        <v>116</v>
      </c>
      <c r="Q18" s="5">
        <v>0</v>
      </c>
      <c r="R18">
        <f t="shared" si="2"/>
        <v>0</v>
      </c>
      <c r="S18" s="5">
        <v>0</v>
      </c>
      <c r="T18">
        <f t="shared" si="3"/>
        <v>0</v>
      </c>
      <c r="U18">
        <f t="shared" si="4"/>
        <v>116</v>
      </c>
      <c r="V18">
        <f t="shared" si="5"/>
        <v>1.1599999999999999</v>
      </c>
      <c r="W18">
        <f t="shared" si="6"/>
        <v>5.8000000000000007</v>
      </c>
      <c r="X18" s="5"/>
      <c r="Y18">
        <f t="shared" si="9"/>
        <v>0</v>
      </c>
      <c r="AA18">
        <f t="shared" si="7"/>
        <v>109.04</v>
      </c>
    </row>
    <row r="19" spans="1:27" x14ac:dyDescent="0.3">
      <c r="A19">
        <v>16</v>
      </c>
      <c r="B19" t="s">
        <v>105</v>
      </c>
      <c r="C19" t="s">
        <v>42</v>
      </c>
      <c r="D19" t="s">
        <v>67</v>
      </c>
      <c r="E19" t="s">
        <v>79</v>
      </c>
      <c r="F19" t="s">
        <v>89</v>
      </c>
      <c r="I19" t="s">
        <v>128</v>
      </c>
      <c r="J19" s="2" t="s">
        <v>134</v>
      </c>
      <c r="K19">
        <v>11</v>
      </c>
      <c r="L19">
        <v>8</v>
      </c>
      <c r="M19">
        <f t="shared" si="0"/>
        <v>16.5</v>
      </c>
      <c r="N19">
        <f t="shared" si="8"/>
        <v>22</v>
      </c>
      <c r="O19" s="5">
        <v>6</v>
      </c>
      <c r="P19">
        <f t="shared" si="1"/>
        <v>528</v>
      </c>
      <c r="Q19" s="5">
        <v>8</v>
      </c>
      <c r="R19">
        <f t="shared" si="2"/>
        <v>132</v>
      </c>
      <c r="S19" s="5">
        <v>0</v>
      </c>
      <c r="T19">
        <f t="shared" si="3"/>
        <v>0</v>
      </c>
      <c r="U19">
        <f t="shared" si="4"/>
        <v>660</v>
      </c>
      <c r="V19">
        <f t="shared" si="5"/>
        <v>6.6000000000000005</v>
      </c>
      <c r="W19">
        <f t="shared" si="6"/>
        <v>33</v>
      </c>
      <c r="X19" s="5">
        <v>1000</v>
      </c>
      <c r="Y19">
        <f t="shared" si="9"/>
        <v>1300</v>
      </c>
      <c r="AA19">
        <f t="shared" si="7"/>
        <v>-679.6</v>
      </c>
    </row>
    <row r="20" spans="1:27" x14ac:dyDescent="0.3">
      <c r="A20">
        <v>17</v>
      </c>
      <c r="B20" t="s">
        <v>106</v>
      </c>
      <c r="C20" t="s">
        <v>43</v>
      </c>
      <c r="D20" t="s">
        <v>68</v>
      </c>
      <c r="E20" t="s">
        <v>84</v>
      </c>
      <c r="F20" t="s">
        <v>89</v>
      </c>
      <c r="I20" s="2" t="s">
        <v>129</v>
      </c>
      <c r="J20" s="2" t="s">
        <v>134</v>
      </c>
      <c r="K20">
        <v>14.5</v>
      </c>
      <c r="L20">
        <v>8</v>
      </c>
      <c r="M20">
        <f t="shared" si="0"/>
        <v>21.75</v>
      </c>
      <c r="N20">
        <f t="shared" si="8"/>
        <v>29</v>
      </c>
      <c r="O20" s="5">
        <v>23</v>
      </c>
      <c r="P20">
        <f t="shared" si="1"/>
        <v>2668</v>
      </c>
      <c r="Q20" s="5">
        <v>35</v>
      </c>
      <c r="R20">
        <f t="shared" si="2"/>
        <v>761.25</v>
      </c>
      <c r="S20" s="5">
        <v>9</v>
      </c>
      <c r="T20">
        <f t="shared" si="3"/>
        <v>261</v>
      </c>
      <c r="U20">
        <f t="shared" si="4"/>
        <v>3690.25</v>
      </c>
      <c r="V20">
        <f t="shared" si="5"/>
        <v>36.902500000000003</v>
      </c>
      <c r="W20">
        <f t="shared" si="6"/>
        <v>184.51250000000002</v>
      </c>
      <c r="X20" s="5"/>
      <c r="Y20">
        <f t="shared" si="9"/>
        <v>0</v>
      </c>
      <c r="AA20">
        <f t="shared" si="7"/>
        <v>3468.835</v>
      </c>
    </row>
    <row r="21" spans="1:27" x14ac:dyDescent="0.3">
      <c r="A21">
        <v>18</v>
      </c>
      <c r="B21" t="s">
        <v>107</v>
      </c>
      <c r="C21" t="s">
        <v>44</v>
      </c>
      <c r="D21" t="s">
        <v>69</v>
      </c>
      <c r="E21" t="s">
        <v>77</v>
      </c>
      <c r="F21" t="s">
        <v>89</v>
      </c>
      <c r="I21" s="2" t="s">
        <v>130</v>
      </c>
      <c r="J21" s="2" t="s">
        <v>137</v>
      </c>
      <c r="K21">
        <v>14.5</v>
      </c>
      <c r="L21">
        <v>8</v>
      </c>
      <c r="M21">
        <f>K21*1.5</f>
        <v>21.75</v>
      </c>
      <c r="N21">
        <f t="shared" si="8"/>
        <v>29</v>
      </c>
      <c r="O21" s="5">
        <v>21</v>
      </c>
      <c r="P21">
        <f>K21*L21*O21</f>
        <v>2436</v>
      </c>
      <c r="Q21" s="5">
        <v>33</v>
      </c>
      <c r="R21">
        <f>Q21*M21</f>
        <v>717.75</v>
      </c>
      <c r="S21" s="5">
        <v>0</v>
      </c>
      <c r="T21">
        <f>S21*N21</f>
        <v>0</v>
      </c>
      <c r="U21">
        <f>P21+R21+T21</f>
        <v>3153.75</v>
      </c>
      <c r="V21">
        <f>U21*1%</f>
        <v>31.537500000000001</v>
      </c>
      <c r="W21">
        <f>U21*5%</f>
        <v>157.6875</v>
      </c>
      <c r="X21" s="5">
        <v>1500</v>
      </c>
      <c r="Y21">
        <f t="shared" si="9"/>
        <v>1950</v>
      </c>
      <c r="AA21">
        <f>U21-V21-W21-Y21-Z21</f>
        <v>1014.5250000000001</v>
      </c>
    </row>
    <row r="22" spans="1:27" x14ac:dyDescent="0.3">
      <c r="A22">
        <v>19</v>
      </c>
      <c r="B22" t="s">
        <v>108</v>
      </c>
      <c r="C22" t="s">
        <v>45</v>
      </c>
      <c r="D22" t="s">
        <v>70</v>
      </c>
      <c r="E22" t="s">
        <v>77</v>
      </c>
      <c r="F22" t="s">
        <v>89</v>
      </c>
      <c r="I22" s="2" t="s">
        <v>131</v>
      </c>
      <c r="J22" s="2" t="s">
        <v>134</v>
      </c>
      <c r="K22">
        <v>14.5</v>
      </c>
      <c r="L22">
        <v>8</v>
      </c>
      <c r="M22">
        <f t="shared" ref="M22:M28" si="10">K22*1.5</f>
        <v>21.75</v>
      </c>
      <c r="N22">
        <f t="shared" si="8"/>
        <v>29</v>
      </c>
      <c r="O22" s="5">
        <v>22</v>
      </c>
      <c r="P22">
        <f t="shared" ref="P22:P28" si="11">K22*L22*O22</f>
        <v>2552</v>
      </c>
      <c r="Q22" s="5">
        <v>70</v>
      </c>
      <c r="R22">
        <f t="shared" ref="R22:R28" si="12">Q22*M22</f>
        <v>1522.5</v>
      </c>
      <c r="S22" s="5">
        <v>24</v>
      </c>
      <c r="T22">
        <f t="shared" ref="T22:T28" si="13">S22*N22</f>
        <v>696</v>
      </c>
      <c r="U22">
        <f t="shared" ref="U22:U28" si="14">P22+R22+T22</f>
        <v>4770.5</v>
      </c>
      <c r="V22">
        <f t="shared" ref="V22:V28" si="15">U22*1%</f>
        <v>47.704999999999998</v>
      </c>
      <c r="W22">
        <f t="shared" ref="W22:W28" si="16">U22*5%</f>
        <v>238.52500000000001</v>
      </c>
      <c r="X22" s="5"/>
      <c r="Y22">
        <f t="shared" si="9"/>
        <v>0</v>
      </c>
      <c r="AA22">
        <f t="shared" ref="AA22:AA28" si="17">U22-V22-W22-Y22-Z22</f>
        <v>4484.2700000000004</v>
      </c>
    </row>
    <row r="23" spans="1:27" x14ac:dyDescent="0.3">
      <c r="A23">
        <v>20</v>
      </c>
      <c r="B23" t="s">
        <v>109</v>
      </c>
      <c r="C23" t="s">
        <v>46</v>
      </c>
      <c r="D23" t="s">
        <v>71</v>
      </c>
      <c r="E23" t="s">
        <v>79</v>
      </c>
      <c r="F23" t="s">
        <v>89</v>
      </c>
      <c r="K23">
        <v>11</v>
      </c>
      <c r="L23">
        <v>8</v>
      </c>
      <c r="M23">
        <f t="shared" si="10"/>
        <v>16.5</v>
      </c>
      <c r="N23">
        <f t="shared" si="8"/>
        <v>22</v>
      </c>
      <c r="O23" s="5">
        <v>20</v>
      </c>
      <c r="P23">
        <f t="shared" si="11"/>
        <v>1760</v>
      </c>
      <c r="Q23" s="5">
        <v>32</v>
      </c>
      <c r="R23">
        <f t="shared" si="12"/>
        <v>528</v>
      </c>
      <c r="S23" s="5">
        <v>21</v>
      </c>
      <c r="T23">
        <f t="shared" si="13"/>
        <v>462</v>
      </c>
      <c r="U23">
        <f t="shared" si="14"/>
        <v>2750</v>
      </c>
      <c r="V23">
        <f t="shared" si="15"/>
        <v>27.5</v>
      </c>
      <c r="W23">
        <f t="shared" si="16"/>
        <v>137.5</v>
      </c>
      <c r="X23" s="5"/>
      <c r="Y23">
        <f t="shared" si="9"/>
        <v>0</v>
      </c>
      <c r="AA23">
        <f t="shared" si="17"/>
        <v>2585</v>
      </c>
    </row>
    <row r="24" spans="1:27" x14ac:dyDescent="0.3">
      <c r="A24">
        <v>21</v>
      </c>
      <c r="B24" t="s">
        <v>110</v>
      </c>
      <c r="C24" t="s">
        <v>47</v>
      </c>
      <c r="D24" t="s">
        <v>72</v>
      </c>
      <c r="E24" t="s">
        <v>85</v>
      </c>
      <c r="F24" t="s">
        <v>89</v>
      </c>
      <c r="K24">
        <v>14.5</v>
      </c>
      <c r="L24">
        <v>8</v>
      </c>
      <c r="M24">
        <f t="shared" si="10"/>
        <v>21.75</v>
      </c>
      <c r="N24">
        <f t="shared" si="8"/>
        <v>29</v>
      </c>
      <c r="O24" s="5">
        <v>19</v>
      </c>
      <c r="P24">
        <f t="shared" si="11"/>
        <v>2204</v>
      </c>
      <c r="Q24" s="5">
        <v>20</v>
      </c>
      <c r="R24">
        <f t="shared" si="12"/>
        <v>435</v>
      </c>
      <c r="S24" s="5">
        <v>9</v>
      </c>
      <c r="T24">
        <f t="shared" si="13"/>
        <v>261</v>
      </c>
      <c r="U24">
        <f t="shared" si="14"/>
        <v>2900</v>
      </c>
      <c r="V24">
        <f t="shared" si="15"/>
        <v>29</v>
      </c>
      <c r="W24">
        <f t="shared" si="16"/>
        <v>145</v>
      </c>
      <c r="X24" s="5"/>
      <c r="Y24">
        <f t="shared" si="9"/>
        <v>0</v>
      </c>
      <c r="AA24">
        <f t="shared" si="17"/>
        <v>2726</v>
      </c>
    </row>
    <row r="25" spans="1:27" x14ac:dyDescent="0.3">
      <c r="A25">
        <v>22</v>
      </c>
      <c r="B25" t="s">
        <v>111</v>
      </c>
      <c r="C25" t="s">
        <v>48</v>
      </c>
      <c r="D25" t="s">
        <v>73</v>
      </c>
      <c r="E25" t="s">
        <v>86</v>
      </c>
      <c r="F25" t="s">
        <v>89</v>
      </c>
      <c r="I25" s="2" t="s">
        <v>132</v>
      </c>
      <c r="J25" s="2" t="s">
        <v>136</v>
      </c>
      <c r="K25">
        <v>15</v>
      </c>
      <c r="L25">
        <v>8</v>
      </c>
      <c r="M25">
        <f t="shared" si="10"/>
        <v>22.5</v>
      </c>
      <c r="N25">
        <f t="shared" si="8"/>
        <v>30</v>
      </c>
      <c r="O25" s="5">
        <v>3</v>
      </c>
      <c r="P25">
        <f t="shared" si="11"/>
        <v>360</v>
      </c>
      <c r="Q25" s="5">
        <v>8</v>
      </c>
      <c r="R25">
        <f t="shared" si="12"/>
        <v>180</v>
      </c>
      <c r="S25" s="5">
        <v>8</v>
      </c>
      <c r="T25">
        <f t="shared" si="13"/>
        <v>240</v>
      </c>
      <c r="U25">
        <f t="shared" si="14"/>
        <v>780</v>
      </c>
      <c r="V25">
        <f t="shared" si="15"/>
        <v>7.8</v>
      </c>
      <c r="W25">
        <f t="shared" si="16"/>
        <v>39</v>
      </c>
      <c r="X25" s="5"/>
      <c r="Y25">
        <f t="shared" si="9"/>
        <v>0</v>
      </c>
      <c r="AA25">
        <f t="shared" si="17"/>
        <v>733.2</v>
      </c>
    </row>
    <row r="26" spans="1:27" x14ac:dyDescent="0.3">
      <c r="A26">
        <v>23</v>
      </c>
      <c r="B26" t="s">
        <v>112</v>
      </c>
      <c r="C26" t="s">
        <v>49</v>
      </c>
      <c r="D26" t="s">
        <v>74</v>
      </c>
      <c r="E26" t="s">
        <v>87</v>
      </c>
      <c r="F26" t="s">
        <v>89</v>
      </c>
      <c r="I26" s="2" t="s">
        <v>133</v>
      </c>
      <c r="J26" s="2" t="s">
        <v>138</v>
      </c>
      <c r="K26">
        <v>15.5</v>
      </c>
      <c r="L26">
        <v>8</v>
      </c>
      <c r="M26">
        <f t="shared" si="10"/>
        <v>23.25</v>
      </c>
      <c r="N26">
        <f t="shared" si="8"/>
        <v>31</v>
      </c>
      <c r="O26" s="5">
        <v>4</v>
      </c>
      <c r="P26">
        <f t="shared" si="11"/>
        <v>496</v>
      </c>
      <c r="Q26" s="5">
        <v>8</v>
      </c>
      <c r="R26">
        <f t="shared" si="12"/>
        <v>186</v>
      </c>
      <c r="S26" s="5">
        <v>12</v>
      </c>
      <c r="T26">
        <f t="shared" si="13"/>
        <v>372</v>
      </c>
      <c r="U26">
        <f t="shared" si="14"/>
        <v>1054</v>
      </c>
      <c r="V26">
        <f t="shared" si="15"/>
        <v>10.540000000000001</v>
      </c>
      <c r="W26">
        <f t="shared" si="16"/>
        <v>52.7</v>
      </c>
      <c r="X26" s="5"/>
      <c r="Y26">
        <f t="shared" si="9"/>
        <v>0</v>
      </c>
      <c r="AA26">
        <f t="shared" si="17"/>
        <v>990.76</v>
      </c>
    </row>
    <row r="27" spans="1:27" x14ac:dyDescent="0.3">
      <c r="A27">
        <v>24</v>
      </c>
      <c r="B27" t="s">
        <v>113</v>
      </c>
      <c r="C27" t="s">
        <v>50</v>
      </c>
      <c r="D27" t="s">
        <v>75</v>
      </c>
      <c r="E27" t="s">
        <v>88</v>
      </c>
      <c r="F27" t="s">
        <v>89</v>
      </c>
      <c r="K27">
        <v>18</v>
      </c>
      <c r="L27">
        <v>8</v>
      </c>
      <c r="M27">
        <f t="shared" si="10"/>
        <v>27</v>
      </c>
      <c r="N27">
        <f t="shared" si="8"/>
        <v>36</v>
      </c>
      <c r="O27" s="5">
        <v>21</v>
      </c>
      <c r="P27">
        <f t="shared" si="11"/>
        <v>3024</v>
      </c>
      <c r="Q27" s="5">
        <v>13</v>
      </c>
      <c r="R27">
        <f t="shared" si="12"/>
        <v>351</v>
      </c>
      <c r="S27" s="5">
        <v>0</v>
      </c>
      <c r="T27">
        <f t="shared" si="13"/>
        <v>0</v>
      </c>
      <c r="U27">
        <f t="shared" si="14"/>
        <v>3375</v>
      </c>
      <c r="V27">
        <f t="shared" si="15"/>
        <v>33.75</v>
      </c>
      <c r="W27">
        <f t="shared" si="16"/>
        <v>168.75</v>
      </c>
      <c r="X27" s="5">
        <v>1000</v>
      </c>
      <c r="Y27">
        <f t="shared" si="9"/>
        <v>1300</v>
      </c>
      <c r="AA27">
        <f t="shared" si="17"/>
        <v>1872.5</v>
      </c>
    </row>
    <row r="28" spans="1:27" x14ac:dyDescent="0.3">
      <c r="A28">
        <v>25</v>
      </c>
      <c r="B28" t="s">
        <v>114</v>
      </c>
      <c r="C28" t="s">
        <v>51</v>
      </c>
      <c r="D28" t="s">
        <v>76</v>
      </c>
      <c r="E28" t="s">
        <v>78</v>
      </c>
      <c r="F28" t="s">
        <v>89</v>
      </c>
      <c r="K28">
        <v>18</v>
      </c>
      <c r="L28">
        <v>8</v>
      </c>
      <c r="M28">
        <f t="shared" si="10"/>
        <v>27</v>
      </c>
      <c r="N28">
        <f t="shared" si="8"/>
        <v>36</v>
      </c>
      <c r="O28" s="5">
        <v>6</v>
      </c>
      <c r="P28">
        <f t="shared" si="11"/>
        <v>864</v>
      </c>
      <c r="Q28" s="5">
        <v>1</v>
      </c>
      <c r="R28">
        <f t="shared" si="12"/>
        <v>27</v>
      </c>
      <c r="S28" s="5">
        <v>0</v>
      </c>
      <c r="T28">
        <f t="shared" si="13"/>
        <v>0</v>
      </c>
      <c r="U28">
        <f t="shared" si="14"/>
        <v>891</v>
      </c>
      <c r="V28">
        <f t="shared" si="15"/>
        <v>8.91</v>
      </c>
      <c r="W28">
        <f t="shared" si="16"/>
        <v>44.550000000000004</v>
      </c>
      <c r="X28" s="5"/>
      <c r="Y28">
        <f t="shared" si="9"/>
        <v>0</v>
      </c>
      <c r="AA28">
        <f t="shared" si="17"/>
        <v>837.54000000000008</v>
      </c>
    </row>
    <row r="29" spans="1:27" s="6" customFormat="1" x14ac:dyDescent="0.3">
      <c r="A29">
        <v>26</v>
      </c>
      <c r="B29" s="6" t="s">
        <v>139</v>
      </c>
      <c r="C29" s="6" t="s">
        <v>140</v>
      </c>
      <c r="D29" s="6" t="s">
        <v>141</v>
      </c>
      <c r="E29" s="6" t="s">
        <v>81</v>
      </c>
      <c r="F29" s="6" t="s">
        <v>89</v>
      </c>
      <c r="I29" s="7" t="s">
        <v>142</v>
      </c>
      <c r="J29" s="7" t="s">
        <v>143</v>
      </c>
      <c r="K29" s="6">
        <v>13.5</v>
      </c>
      <c r="L29" s="6">
        <v>8</v>
      </c>
      <c r="M29" s="6">
        <f t="shared" si="0"/>
        <v>20.25</v>
      </c>
      <c r="N29" s="6">
        <v>40</v>
      </c>
      <c r="O29" s="6">
        <v>22</v>
      </c>
      <c r="P29" s="6">
        <f t="shared" si="1"/>
        <v>2376</v>
      </c>
      <c r="Q29" s="6">
        <v>35</v>
      </c>
      <c r="R29" s="6">
        <f t="shared" si="2"/>
        <v>708.75</v>
      </c>
      <c r="S29" s="6">
        <v>40</v>
      </c>
      <c r="T29" s="6">
        <f t="shared" si="3"/>
        <v>1600</v>
      </c>
      <c r="U29" s="6">
        <f t="shared" si="4"/>
        <v>4684.75</v>
      </c>
      <c r="V29" s="6">
        <f t="shared" si="5"/>
        <v>46.847500000000004</v>
      </c>
      <c r="W29" s="6">
        <f t="shared" si="6"/>
        <v>234.23750000000001</v>
      </c>
      <c r="X29" s="6">
        <v>2200</v>
      </c>
      <c r="Y29" s="6">
        <f t="shared" si="9"/>
        <v>2860</v>
      </c>
      <c r="AA29" s="6">
        <f t="shared" si="7"/>
        <v>1543.665</v>
      </c>
    </row>
    <row r="30" spans="1:27" s="6" customFormat="1" x14ac:dyDescent="0.3">
      <c r="A30">
        <v>27</v>
      </c>
      <c r="B30" s="6" t="s">
        <v>144</v>
      </c>
      <c r="C30" s="6" t="s">
        <v>145</v>
      </c>
      <c r="D30" s="6" t="s">
        <v>146</v>
      </c>
      <c r="E30" s="6" t="s">
        <v>87</v>
      </c>
      <c r="F30" s="6" t="s">
        <v>89</v>
      </c>
      <c r="I30" s="7" t="s">
        <v>147</v>
      </c>
      <c r="J30" s="7" t="s">
        <v>137</v>
      </c>
      <c r="K30" s="6">
        <v>16</v>
      </c>
      <c r="L30" s="6">
        <v>8</v>
      </c>
      <c r="M30" s="6">
        <f t="shared" si="0"/>
        <v>24</v>
      </c>
      <c r="N30" s="6">
        <v>16</v>
      </c>
      <c r="O30" s="6">
        <v>23</v>
      </c>
      <c r="P30" s="6">
        <f t="shared" si="1"/>
        <v>2944</v>
      </c>
      <c r="Q30" s="6">
        <v>22</v>
      </c>
      <c r="R30" s="6">
        <f t="shared" si="2"/>
        <v>528</v>
      </c>
      <c r="S30" s="6">
        <v>16</v>
      </c>
      <c r="T30" s="6">
        <f t="shared" si="3"/>
        <v>256</v>
      </c>
      <c r="U30" s="6">
        <f t="shared" si="4"/>
        <v>3728</v>
      </c>
      <c r="V30" s="6">
        <f t="shared" si="5"/>
        <v>37.28</v>
      </c>
      <c r="W30" s="6">
        <f t="shared" si="6"/>
        <v>186.4</v>
      </c>
      <c r="X30" s="6">
        <v>0</v>
      </c>
      <c r="Y30" s="6">
        <f t="shared" si="9"/>
        <v>0</v>
      </c>
      <c r="AA30" s="6">
        <f t="shared" si="7"/>
        <v>3504.3199999999997</v>
      </c>
    </row>
    <row r="31" spans="1:27" s="6" customFormat="1" x14ac:dyDescent="0.3">
      <c r="A31">
        <v>28</v>
      </c>
      <c r="B31" s="6" t="s">
        <v>148</v>
      </c>
      <c r="C31" s="6" t="s">
        <v>149</v>
      </c>
      <c r="D31" s="6" t="s">
        <v>150</v>
      </c>
      <c r="E31" s="6" t="s">
        <v>87</v>
      </c>
      <c r="F31" s="6" t="s">
        <v>89</v>
      </c>
      <c r="I31" s="7" t="s">
        <v>151</v>
      </c>
      <c r="J31" s="7" t="s">
        <v>138</v>
      </c>
      <c r="K31" s="6">
        <v>15.5</v>
      </c>
      <c r="L31" s="6">
        <v>8</v>
      </c>
      <c r="M31" s="6">
        <f t="shared" si="0"/>
        <v>23.25</v>
      </c>
      <c r="N31" s="6">
        <v>48</v>
      </c>
      <c r="O31" s="6">
        <v>23</v>
      </c>
      <c r="P31" s="6">
        <f t="shared" si="1"/>
        <v>2852</v>
      </c>
      <c r="Q31" s="6">
        <v>45</v>
      </c>
      <c r="R31" s="6">
        <f t="shared" si="2"/>
        <v>1046.25</v>
      </c>
      <c r="S31" s="6">
        <v>48</v>
      </c>
      <c r="T31" s="6">
        <f t="shared" si="3"/>
        <v>2304</v>
      </c>
      <c r="U31" s="6">
        <f t="shared" si="4"/>
        <v>6202.25</v>
      </c>
      <c r="V31" s="6">
        <f t="shared" si="5"/>
        <v>62.022500000000001</v>
      </c>
      <c r="W31" s="6">
        <f t="shared" si="6"/>
        <v>310.11250000000001</v>
      </c>
      <c r="X31" s="6">
        <v>0</v>
      </c>
      <c r="Y31" s="6">
        <f t="shared" si="9"/>
        <v>0</v>
      </c>
      <c r="AA31" s="6">
        <f t="shared" si="7"/>
        <v>5830.1149999999998</v>
      </c>
    </row>
    <row r="32" spans="1:27" s="6" customFormat="1" x14ac:dyDescent="0.3">
      <c r="A32">
        <v>29</v>
      </c>
      <c r="B32" s="6" t="s">
        <v>152</v>
      </c>
      <c r="C32" s="6" t="s">
        <v>153</v>
      </c>
      <c r="D32" s="6" t="s">
        <v>154</v>
      </c>
      <c r="E32" s="6" t="s">
        <v>87</v>
      </c>
      <c r="F32" s="6" t="s">
        <v>89</v>
      </c>
      <c r="I32" s="7" t="s">
        <v>155</v>
      </c>
      <c r="J32" s="7" t="s">
        <v>138</v>
      </c>
      <c r="K32" s="6">
        <v>16.5</v>
      </c>
      <c r="L32" s="6">
        <v>8</v>
      </c>
      <c r="M32" s="6">
        <f t="shared" si="0"/>
        <v>24.75</v>
      </c>
      <c r="N32" s="6">
        <v>24</v>
      </c>
      <c r="O32" s="6">
        <v>22</v>
      </c>
      <c r="P32" s="6">
        <f t="shared" si="1"/>
        <v>2904</v>
      </c>
      <c r="Q32" s="6">
        <v>13</v>
      </c>
      <c r="R32" s="6">
        <f t="shared" si="2"/>
        <v>321.75</v>
      </c>
      <c r="S32" s="6">
        <v>24</v>
      </c>
      <c r="T32" s="6">
        <f t="shared" si="3"/>
        <v>576</v>
      </c>
      <c r="U32" s="6">
        <f t="shared" si="4"/>
        <v>3801.75</v>
      </c>
      <c r="V32" s="6">
        <f t="shared" si="5"/>
        <v>38.017499999999998</v>
      </c>
      <c r="W32" s="6">
        <f t="shared" si="6"/>
        <v>190.08750000000001</v>
      </c>
      <c r="X32" s="6">
        <v>0</v>
      </c>
      <c r="Y32" s="6">
        <f t="shared" si="9"/>
        <v>0</v>
      </c>
      <c r="AA32" s="6">
        <f t="shared" si="7"/>
        <v>3573.645</v>
      </c>
    </row>
    <row r="33" spans="1:27" s="6" customFormat="1" x14ac:dyDescent="0.3">
      <c r="A33">
        <v>30</v>
      </c>
      <c r="B33" s="6" t="s">
        <v>156</v>
      </c>
      <c r="C33" s="6" t="s">
        <v>157</v>
      </c>
      <c r="D33" s="6" t="s">
        <v>158</v>
      </c>
      <c r="E33" s="6" t="s">
        <v>81</v>
      </c>
      <c r="F33" s="6" t="s">
        <v>89</v>
      </c>
      <c r="I33" s="7" t="s">
        <v>159</v>
      </c>
      <c r="J33" s="7" t="s">
        <v>143</v>
      </c>
      <c r="K33" s="6">
        <v>15</v>
      </c>
      <c r="L33" s="6">
        <v>8</v>
      </c>
      <c r="M33" s="6">
        <f t="shared" si="0"/>
        <v>22.5</v>
      </c>
      <c r="N33" s="6">
        <v>44</v>
      </c>
      <c r="O33" s="6">
        <v>22</v>
      </c>
      <c r="P33" s="6">
        <f t="shared" si="1"/>
        <v>2640</v>
      </c>
      <c r="Q33" s="6">
        <v>35</v>
      </c>
      <c r="R33" s="6">
        <f t="shared" si="2"/>
        <v>787.5</v>
      </c>
      <c r="S33" s="6">
        <v>44</v>
      </c>
      <c r="T33" s="6">
        <f t="shared" si="3"/>
        <v>1936</v>
      </c>
      <c r="U33" s="6">
        <f t="shared" si="4"/>
        <v>5363.5</v>
      </c>
      <c r="V33" s="6">
        <f t="shared" si="5"/>
        <v>53.634999999999998</v>
      </c>
      <c r="W33" s="6">
        <f t="shared" si="6"/>
        <v>268.17500000000001</v>
      </c>
      <c r="X33" s="6">
        <v>2000</v>
      </c>
      <c r="Y33" s="6">
        <f t="shared" si="9"/>
        <v>2600</v>
      </c>
      <c r="AA33" s="6">
        <f t="shared" si="7"/>
        <v>2441.6899999999996</v>
      </c>
    </row>
    <row r="34" spans="1:27" s="6" customFormat="1" x14ac:dyDescent="0.3">
      <c r="A34">
        <v>31</v>
      </c>
      <c r="B34" s="6" t="s">
        <v>160</v>
      </c>
      <c r="C34" s="6" t="s">
        <v>161</v>
      </c>
      <c r="D34" s="6" t="s">
        <v>162</v>
      </c>
      <c r="E34" s="6" t="s">
        <v>163</v>
      </c>
      <c r="F34" s="6" t="s">
        <v>89</v>
      </c>
      <c r="I34" s="7" t="s">
        <v>164</v>
      </c>
      <c r="J34" s="7" t="s">
        <v>138</v>
      </c>
      <c r="K34" s="6">
        <v>11</v>
      </c>
      <c r="L34" s="6">
        <v>8</v>
      </c>
      <c r="M34" s="6">
        <f t="shared" si="0"/>
        <v>16.5</v>
      </c>
      <c r="N34" s="6">
        <v>24</v>
      </c>
      <c r="O34" s="6">
        <v>23</v>
      </c>
      <c r="P34" s="6">
        <f t="shared" si="1"/>
        <v>2024</v>
      </c>
      <c r="Q34" s="6">
        <v>36</v>
      </c>
      <c r="R34" s="6">
        <f t="shared" si="2"/>
        <v>594</v>
      </c>
      <c r="S34" s="6">
        <v>24</v>
      </c>
      <c r="T34" s="6">
        <f t="shared" si="3"/>
        <v>576</v>
      </c>
      <c r="U34" s="6">
        <f t="shared" si="4"/>
        <v>3194</v>
      </c>
      <c r="V34" s="6">
        <f t="shared" si="5"/>
        <v>31.94</v>
      </c>
      <c r="W34" s="6">
        <f t="shared" si="6"/>
        <v>159.70000000000002</v>
      </c>
      <c r="X34" s="6">
        <v>2000</v>
      </c>
      <c r="Y34" s="6">
        <f t="shared" si="9"/>
        <v>2600</v>
      </c>
      <c r="AA34" s="6">
        <f t="shared" si="7"/>
        <v>402.36000000000013</v>
      </c>
    </row>
    <row r="35" spans="1:27" s="6" customFormat="1" x14ac:dyDescent="0.3">
      <c r="A35">
        <v>32</v>
      </c>
      <c r="B35" s="6" t="s">
        <v>165</v>
      </c>
      <c r="C35" s="6" t="s">
        <v>166</v>
      </c>
      <c r="D35" s="6" t="s">
        <v>167</v>
      </c>
      <c r="E35" s="6" t="s">
        <v>168</v>
      </c>
      <c r="F35" s="6" t="s">
        <v>89</v>
      </c>
      <c r="I35" s="7" t="s">
        <v>169</v>
      </c>
      <c r="J35" s="7" t="s">
        <v>143</v>
      </c>
      <c r="K35" s="6">
        <v>12</v>
      </c>
      <c r="L35" s="6">
        <v>8</v>
      </c>
      <c r="M35" s="6">
        <f t="shared" si="0"/>
        <v>18</v>
      </c>
      <c r="N35" s="6">
        <v>24</v>
      </c>
      <c r="O35" s="6">
        <v>23</v>
      </c>
      <c r="P35" s="6">
        <f t="shared" si="1"/>
        <v>2208</v>
      </c>
      <c r="Q35" s="6">
        <v>38</v>
      </c>
      <c r="R35" s="6">
        <f t="shared" si="2"/>
        <v>684</v>
      </c>
      <c r="S35" s="6">
        <v>24</v>
      </c>
      <c r="T35" s="6">
        <f t="shared" si="3"/>
        <v>576</v>
      </c>
      <c r="U35" s="6">
        <f t="shared" si="4"/>
        <v>3468</v>
      </c>
      <c r="V35" s="6">
        <f t="shared" si="5"/>
        <v>34.68</v>
      </c>
      <c r="W35" s="6">
        <f t="shared" si="6"/>
        <v>173.4</v>
      </c>
      <c r="X35" s="6">
        <v>2400</v>
      </c>
      <c r="Y35" s="6">
        <f t="shared" si="9"/>
        <v>3120</v>
      </c>
      <c r="AA35" s="6">
        <f t="shared" si="7"/>
        <v>139.92000000000007</v>
      </c>
    </row>
    <row r="36" spans="1:27" s="6" customFormat="1" x14ac:dyDescent="0.3">
      <c r="A36">
        <v>33</v>
      </c>
      <c r="B36" s="6" t="s">
        <v>170</v>
      </c>
      <c r="C36" s="6" t="s">
        <v>171</v>
      </c>
      <c r="D36" s="6" t="s">
        <v>172</v>
      </c>
      <c r="E36" s="6" t="s">
        <v>87</v>
      </c>
      <c r="F36" s="6" t="s">
        <v>89</v>
      </c>
      <c r="I36" s="7" t="s">
        <v>173</v>
      </c>
      <c r="J36" s="7" t="s">
        <v>137</v>
      </c>
      <c r="K36" s="6">
        <v>14</v>
      </c>
      <c r="L36" s="6">
        <v>8</v>
      </c>
      <c r="M36" s="6">
        <f t="shared" si="0"/>
        <v>21</v>
      </c>
      <c r="N36" s="6">
        <v>60</v>
      </c>
      <c r="O36" s="6">
        <v>19</v>
      </c>
      <c r="P36" s="6">
        <f t="shared" si="1"/>
        <v>2128</v>
      </c>
      <c r="Q36" s="6">
        <v>50</v>
      </c>
      <c r="R36" s="6">
        <f t="shared" si="2"/>
        <v>1050</v>
      </c>
      <c r="S36" s="6">
        <v>60</v>
      </c>
      <c r="T36" s="6">
        <f t="shared" si="3"/>
        <v>3600</v>
      </c>
      <c r="U36" s="6">
        <f t="shared" si="4"/>
        <v>6778</v>
      </c>
      <c r="V36" s="6">
        <f t="shared" si="5"/>
        <v>67.78</v>
      </c>
      <c r="W36" s="6">
        <f t="shared" si="6"/>
        <v>338.90000000000003</v>
      </c>
      <c r="X36" s="6">
        <v>2300</v>
      </c>
      <c r="Y36" s="6">
        <f t="shared" si="9"/>
        <v>2990</v>
      </c>
      <c r="AA36" s="6">
        <f t="shared" si="7"/>
        <v>3381.3200000000006</v>
      </c>
    </row>
    <row r="37" spans="1:27" s="6" customFormat="1" x14ac:dyDescent="0.3">
      <c r="A37">
        <v>34</v>
      </c>
      <c r="B37" s="6" t="s">
        <v>174</v>
      </c>
      <c r="C37" s="6" t="s">
        <v>175</v>
      </c>
      <c r="D37" s="6" t="s">
        <v>176</v>
      </c>
      <c r="E37" s="6" t="s">
        <v>177</v>
      </c>
      <c r="F37" s="6" t="s">
        <v>89</v>
      </c>
      <c r="I37" s="7" t="s">
        <v>178</v>
      </c>
      <c r="J37" s="7" t="s">
        <v>138</v>
      </c>
      <c r="K37" s="6">
        <v>15.5</v>
      </c>
      <c r="L37" s="6">
        <v>8</v>
      </c>
      <c r="M37" s="6">
        <f t="shared" si="0"/>
        <v>23.25</v>
      </c>
      <c r="N37" s="6">
        <v>29</v>
      </c>
      <c r="O37" s="6">
        <v>22</v>
      </c>
      <c r="P37" s="6">
        <f t="shared" si="1"/>
        <v>2728</v>
      </c>
      <c r="Q37" s="6">
        <v>27</v>
      </c>
      <c r="R37" s="6">
        <f t="shared" si="2"/>
        <v>627.75</v>
      </c>
      <c r="S37" s="6">
        <v>29</v>
      </c>
      <c r="T37" s="6">
        <f t="shared" si="3"/>
        <v>841</v>
      </c>
      <c r="U37" s="6">
        <f t="shared" si="4"/>
        <v>4196.75</v>
      </c>
      <c r="V37" s="6">
        <f t="shared" si="5"/>
        <v>41.967500000000001</v>
      </c>
      <c r="W37" s="6">
        <f t="shared" si="6"/>
        <v>209.83750000000001</v>
      </c>
      <c r="X37" s="6">
        <v>2500</v>
      </c>
      <c r="Y37" s="6">
        <f t="shared" si="9"/>
        <v>3250</v>
      </c>
      <c r="AA37" s="6">
        <f t="shared" si="7"/>
        <v>694.94500000000016</v>
      </c>
    </row>
    <row r="38" spans="1:27" s="6" customFormat="1" x14ac:dyDescent="0.3">
      <c r="A38">
        <v>35</v>
      </c>
      <c r="B38" s="6" t="s">
        <v>179</v>
      </c>
      <c r="C38" s="6" t="s">
        <v>180</v>
      </c>
      <c r="D38" s="6" t="s">
        <v>181</v>
      </c>
      <c r="E38" s="6" t="s">
        <v>81</v>
      </c>
      <c r="F38" s="6" t="s">
        <v>89</v>
      </c>
      <c r="I38" s="7" t="s">
        <v>182</v>
      </c>
      <c r="J38" s="7" t="s">
        <v>135</v>
      </c>
      <c r="K38" s="6">
        <v>16</v>
      </c>
      <c r="L38" s="6">
        <v>8</v>
      </c>
      <c r="M38" s="6">
        <f t="shared" si="0"/>
        <v>24</v>
      </c>
      <c r="N38" s="6">
        <v>44</v>
      </c>
      <c r="O38" s="6">
        <v>21</v>
      </c>
      <c r="P38" s="6">
        <f t="shared" si="1"/>
        <v>2688</v>
      </c>
      <c r="Q38" s="6">
        <v>25</v>
      </c>
      <c r="R38" s="6">
        <f t="shared" si="2"/>
        <v>600</v>
      </c>
      <c r="S38" s="6">
        <v>44</v>
      </c>
      <c r="T38" s="6">
        <f t="shared" si="3"/>
        <v>1936</v>
      </c>
      <c r="U38" s="6">
        <f t="shared" si="4"/>
        <v>5224</v>
      </c>
      <c r="V38" s="6">
        <f t="shared" si="5"/>
        <v>52.24</v>
      </c>
      <c r="W38" s="6">
        <f t="shared" si="6"/>
        <v>261.2</v>
      </c>
      <c r="X38" s="6">
        <v>2600</v>
      </c>
      <c r="Y38" s="6">
        <f t="shared" si="9"/>
        <v>3380</v>
      </c>
      <c r="AA38" s="6">
        <f t="shared" si="7"/>
        <v>1530.5600000000004</v>
      </c>
    </row>
    <row r="39" spans="1:27" s="6" customFormat="1" x14ac:dyDescent="0.3">
      <c r="A39">
        <v>36</v>
      </c>
      <c r="B39" s="6" t="s">
        <v>183</v>
      </c>
      <c r="C39" s="6" t="s">
        <v>184</v>
      </c>
      <c r="D39" s="6" t="s">
        <v>185</v>
      </c>
      <c r="E39" s="6" t="s">
        <v>77</v>
      </c>
      <c r="F39" s="6" t="s">
        <v>89</v>
      </c>
      <c r="I39" s="7" t="s">
        <v>186</v>
      </c>
      <c r="J39" s="7" t="s">
        <v>134</v>
      </c>
      <c r="K39" s="6">
        <v>13.5</v>
      </c>
      <c r="L39" s="6">
        <v>8</v>
      </c>
      <c r="M39" s="6">
        <f t="shared" si="0"/>
        <v>20.25</v>
      </c>
      <c r="N39" s="6">
        <v>49</v>
      </c>
      <c r="O39" s="6">
        <v>22</v>
      </c>
      <c r="P39" s="6">
        <f t="shared" si="1"/>
        <v>2376</v>
      </c>
      <c r="Q39" s="6">
        <v>48</v>
      </c>
      <c r="R39" s="6">
        <f t="shared" si="2"/>
        <v>972</v>
      </c>
      <c r="S39" s="6">
        <v>49</v>
      </c>
      <c r="T39" s="6">
        <f t="shared" si="3"/>
        <v>2401</v>
      </c>
      <c r="U39" s="6">
        <f t="shared" si="4"/>
        <v>5749</v>
      </c>
      <c r="V39" s="6">
        <f t="shared" si="5"/>
        <v>57.49</v>
      </c>
      <c r="W39" s="6">
        <f t="shared" si="6"/>
        <v>287.45</v>
      </c>
      <c r="X39" s="6">
        <v>1000</v>
      </c>
      <c r="Y39" s="6">
        <f t="shared" si="9"/>
        <v>1300</v>
      </c>
      <c r="AA39" s="6">
        <f t="shared" si="7"/>
        <v>4104.0600000000004</v>
      </c>
    </row>
    <row r="40" spans="1:27" s="6" customFormat="1" x14ac:dyDescent="0.3">
      <c r="A40">
        <v>37</v>
      </c>
      <c r="B40" s="6" t="s">
        <v>187</v>
      </c>
      <c r="C40" s="6" t="s">
        <v>188</v>
      </c>
      <c r="D40" s="6" t="s">
        <v>189</v>
      </c>
      <c r="E40" s="6" t="s">
        <v>190</v>
      </c>
      <c r="F40" s="6" t="s">
        <v>89</v>
      </c>
      <c r="I40" s="7" t="s">
        <v>191</v>
      </c>
      <c r="J40" s="7" t="s">
        <v>134</v>
      </c>
      <c r="K40" s="6">
        <v>18</v>
      </c>
      <c r="L40" s="6">
        <v>8</v>
      </c>
      <c r="M40" s="6">
        <f t="shared" si="0"/>
        <v>27</v>
      </c>
      <c r="N40" s="6">
        <v>32</v>
      </c>
      <c r="O40" s="6">
        <v>22</v>
      </c>
      <c r="P40" s="6">
        <f t="shared" si="1"/>
        <v>3168</v>
      </c>
      <c r="Q40" s="6">
        <v>27</v>
      </c>
      <c r="R40" s="6">
        <f t="shared" si="2"/>
        <v>729</v>
      </c>
      <c r="S40" s="6">
        <v>32</v>
      </c>
      <c r="T40" s="6">
        <f t="shared" si="3"/>
        <v>1024</v>
      </c>
      <c r="U40" s="6">
        <f t="shared" si="4"/>
        <v>4921</v>
      </c>
      <c r="V40" s="6">
        <f t="shared" si="5"/>
        <v>49.21</v>
      </c>
      <c r="W40" s="6">
        <f t="shared" si="6"/>
        <v>246.05</v>
      </c>
      <c r="X40" s="6">
        <v>1500</v>
      </c>
      <c r="Y40" s="6">
        <f t="shared" si="9"/>
        <v>1950</v>
      </c>
      <c r="AA40" s="6">
        <f t="shared" si="7"/>
        <v>2675.74</v>
      </c>
    </row>
    <row r="41" spans="1:27" s="6" customFormat="1" x14ac:dyDescent="0.3">
      <c r="A41">
        <v>38</v>
      </c>
      <c r="B41" s="6" t="s">
        <v>192</v>
      </c>
      <c r="C41" s="6" t="s">
        <v>193</v>
      </c>
      <c r="D41" s="6" t="s">
        <v>194</v>
      </c>
      <c r="E41" s="6" t="s">
        <v>78</v>
      </c>
      <c r="F41" s="6" t="s">
        <v>89</v>
      </c>
      <c r="I41" s="7" t="s">
        <v>195</v>
      </c>
      <c r="J41" s="7" t="s">
        <v>134</v>
      </c>
      <c r="K41" s="6">
        <v>18</v>
      </c>
      <c r="L41" s="6">
        <v>8</v>
      </c>
      <c r="M41" s="6">
        <f t="shared" si="0"/>
        <v>27</v>
      </c>
      <c r="N41" s="6">
        <v>24</v>
      </c>
      <c r="O41" s="6">
        <v>24</v>
      </c>
      <c r="P41" s="6">
        <f t="shared" si="1"/>
        <v>3456</v>
      </c>
      <c r="Q41" s="6">
        <v>31</v>
      </c>
      <c r="R41" s="6">
        <f t="shared" si="2"/>
        <v>837</v>
      </c>
      <c r="S41" s="6">
        <v>24</v>
      </c>
      <c r="T41" s="6">
        <f t="shared" si="3"/>
        <v>576</v>
      </c>
      <c r="U41" s="6">
        <f t="shared" si="4"/>
        <v>4869</v>
      </c>
      <c r="V41" s="6">
        <f t="shared" si="5"/>
        <v>48.69</v>
      </c>
      <c r="W41" s="6">
        <f t="shared" si="6"/>
        <v>243.45000000000002</v>
      </c>
      <c r="X41" s="6">
        <v>0</v>
      </c>
      <c r="Y41" s="6">
        <f t="shared" si="9"/>
        <v>0</v>
      </c>
      <c r="AA41" s="6">
        <f t="shared" si="7"/>
        <v>4576.8600000000006</v>
      </c>
    </row>
    <row r="42" spans="1:27" s="6" customFormat="1" x14ac:dyDescent="0.3">
      <c r="A42">
        <v>39</v>
      </c>
      <c r="B42" s="6" t="s">
        <v>196</v>
      </c>
      <c r="C42" s="6" t="s">
        <v>197</v>
      </c>
      <c r="D42" s="6" t="s">
        <v>198</v>
      </c>
      <c r="E42" s="6" t="s">
        <v>81</v>
      </c>
      <c r="F42" s="6" t="s">
        <v>89</v>
      </c>
      <c r="I42" s="7" t="s">
        <v>199</v>
      </c>
      <c r="J42" s="7" t="s">
        <v>135</v>
      </c>
      <c r="K42" s="6">
        <v>16</v>
      </c>
      <c r="L42" s="6">
        <v>8</v>
      </c>
      <c r="M42" s="6">
        <f t="shared" si="0"/>
        <v>24</v>
      </c>
      <c r="N42" s="6">
        <v>26</v>
      </c>
      <c r="O42" s="6">
        <v>25</v>
      </c>
      <c r="P42" s="6">
        <f t="shared" si="1"/>
        <v>3200</v>
      </c>
      <c r="Q42" s="6">
        <v>30</v>
      </c>
      <c r="R42" s="6">
        <f t="shared" si="2"/>
        <v>720</v>
      </c>
      <c r="S42" s="6">
        <v>26</v>
      </c>
      <c r="T42" s="6">
        <f t="shared" si="3"/>
        <v>676</v>
      </c>
      <c r="U42" s="6">
        <f t="shared" si="4"/>
        <v>4596</v>
      </c>
      <c r="V42" s="6">
        <f t="shared" si="5"/>
        <v>45.96</v>
      </c>
      <c r="W42" s="6">
        <f t="shared" si="6"/>
        <v>229.8</v>
      </c>
      <c r="X42" s="6">
        <v>1000</v>
      </c>
      <c r="Y42" s="6">
        <f t="shared" si="9"/>
        <v>1300</v>
      </c>
      <c r="AA42" s="6">
        <f t="shared" si="7"/>
        <v>3020.24</v>
      </c>
    </row>
    <row r="43" spans="1:27" s="6" customFormat="1" x14ac:dyDescent="0.3">
      <c r="A43">
        <v>40</v>
      </c>
      <c r="B43" s="6" t="s">
        <v>200</v>
      </c>
      <c r="C43" s="6" t="s">
        <v>201</v>
      </c>
      <c r="D43" s="6" t="s">
        <v>202</v>
      </c>
      <c r="E43" s="6" t="s">
        <v>177</v>
      </c>
      <c r="F43" s="6" t="s">
        <v>89</v>
      </c>
      <c r="I43" s="7" t="s">
        <v>203</v>
      </c>
      <c r="J43" s="7" t="s">
        <v>137</v>
      </c>
      <c r="K43" s="6">
        <v>16</v>
      </c>
      <c r="L43" s="6">
        <v>8</v>
      </c>
      <c r="M43" s="6">
        <f t="shared" si="0"/>
        <v>24</v>
      </c>
      <c r="N43" s="6">
        <v>24</v>
      </c>
      <c r="O43" s="6">
        <v>21</v>
      </c>
      <c r="P43" s="6">
        <f t="shared" si="1"/>
        <v>2688</v>
      </c>
      <c r="Q43" s="6">
        <v>15</v>
      </c>
      <c r="R43" s="6">
        <f t="shared" si="2"/>
        <v>360</v>
      </c>
      <c r="S43" s="6">
        <v>24</v>
      </c>
      <c r="T43" s="6">
        <f t="shared" si="3"/>
        <v>576</v>
      </c>
      <c r="U43" s="6">
        <f t="shared" si="4"/>
        <v>3624</v>
      </c>
      <c r="V43" s="6">
        <f t="shared" si="5"/>
        <v>36.24</v>
      </c>
      <c r="W43" s="6">
        <f t="shared" si="6"/>
        <v>181.20000000000002</v>
      </c>
      <c r="X43" s="6">
        <v>0</v>
      </c>
      <c r="Y43" s="6">
        <f t="shared" si="9"/>
        <v>0</v>
      </c>
      <c r="AA43" s="6">
        <f t="shared" si="7"/>
        <v>3406.5600000000004</v>
      </c>
    </row>
    <row r="44" spans="1:27" s="6" customFormat="1" x14ac:dyDescent="0.3">
      <c r="A44">
        <v>41</v>
      </c>
      <c r="B44" s="6" t="s">
        <v>204</v>
      </c>
      <c r="C44" s="6" t="s">
        <v>205</v>
      </c>
      <c r="D44" s="6" t="s">
        <v>206</v>
      </c>
      <c r="E44" s="6" t="s">
        <v>177</v>
      </c>
      <c r="F44" s="6" t="s">
        <v>89</v>
      </c>
      <c r="I44" s="7" t="s">
        <v>207</v>
      </c>
      <c r="J44" s="7" t="s">
        <v>138</v>
      </c>
      <c r="K44" s="6">
        <v>16</v>
      </c>
      <c r="L44" s="6">
        <v>8</v>
      </c>
      <c r="M44" s="6">
        <f t="shared" si="0"/>
        <v>24</v>
      </c>
      <c r="N44" s="6">
        <v>24</v>
      </c>
      <c r="O44" s="6">
        <v>23</v>
      </c>
      <c r="P44" s="6">
        <f t="shared" si="1"/>
        <v>2944</v>
      </c>
      <c r="Q44" s="6">
        <v>16</v>
      </c>
      <c r="R44" s="6">
        <f t="shared" si="2"/>
        <v>384</v>
      </c>
      <c r="S44" s="6">
        <v>24</v>
      </c>
      <c r="T44" s="6">
        <f t="shared" si="3"/>
        <v>576</v>
      </c>
      <c r="U44" s="6">
        <f t="shared" si="4"/>
        <v>3904</v>
      </c>
      <c r="V44" s="6">
        <f t="shared" si="5"/>
        <v>39.04</v>
      </c>
      <c r="W44" s="6">
        <f t="shared" si="6"/>
        <v>195.20000000000002</v>
      </c>
      <c r="X44" s="6">
        <v>500</v>
      </c>
      <c r="Y44" s="6">
        <f t="shared" si="9"/>
        <v>650</v>
      </c>
      <c r="AA44" s="6">
        <f t="shared" si="7"/>
        <v>3019.76</v>
      </c>
    </row>
    <row r="45" spans="1:27" s="6" customFormat="1" x14ac:dyDescent="0.3">
      <c r="A45">
        <v>42</v>
      </c>
      <c r="B45" s="6" t="s">
        <v>208</v>
      </c>
      <c r="C45" s="6" t="s">
        <v>209</v>
      </c>
      <c r="D45" s="6" t="s">
        <v>210</v>
      </c>
      <c r="E45" s="6" t="s">
        <v>78</v>
      </c>
      <c r="F45" s="6" t="s">
        <v>89</v>
      </c>
      <c r="I45" s="7" t="s">
        <v>211</v>
      </c>
      <c r="J45" s="7" t="s">
        <v>138</v>
      </c>
      <c r="K45" s="6">
        <v>18</v>
      </c>
      <c r="L45" s="6">
        <v>8</v>
      </c>
      <c r="M45" s="6">
        <f t="shared" si="0"/>
        <v>27</v>
      </c>
      <c r="N45" s="6">
        <v>32</v>
      </c>
      <c r="O45" s="6">
        <v>22</v>
      </c>
      <c r="P45" s="6">
        <f t="shared" si="1"/>
        <v>3168</v>
      </c>
      <c r="Q45" s="6">
        <v>27</v>
      </c>
      <c r="R45" s="6">
        <f t="shared" si="2"/>
        <v>729</v>
      </c>
      <c r="S45" s="6">
        <v>32</v>
      </c>
      <c r="T45" s="6">
        <f t="shared" si="3"/>
        <v>1024</v>
      </c>
      <c r="U45" s="6">
        <f t="shared" si="4"/>
        <v>4921</v>
      </c>
      <c r="V45" s="6">
        <f t="shared" si="5"/>
        <v>49.21</v>
      </c>
      <c r="W45" s="6">
        <f t="shared" si="6"/>
        <v>246.05</v>
      </c>
      <c r="X45" s="6">
        <v>0</v>
      </c>
      <c r="Y45" s="6">
        <f t="shared" si="9"/>
        <v>0</v>
      </c>
      <c r="AA45" s="6">
        <f t="shared" si="7"/>
        <v>4625.74</v>
      </c>
    </row>
    <row r="46" spans="1:27" s="6" customFormat="1" x14ac:dyDescent="0.3">
      <c r="A46">
        <v>43</v>
      </c>
      <c r="B46" s="6" t="s">
        <v>212</v>
      </c>
      <c r="C46" s="6" t="s">
        <v>213</v>
      </c>
      <c r="D46" s="6" t="s">
        <v>214</v>
      </c>
      <c r="E46" s="6" t="s">
        <v>215</v>
      </c>
      <c r="F46" s="6" t="s">
        <v>89</v>
      </c>
      <c r="I46" s="7" t="s">
        <v>216</v>
      </c>
      <c r="J46" s="7" t="s">
        <v>135</v>
      </c>
      <c r="K46" s="6">
        <v>18</v>
      </c>
      <c r="L46" s="6">
        <v>8</v>
      </c>
      <c r="M46" s="6">
        <f t="shared" si="0"/>
        <v>27</v>
      </c>
      <c r="N46" s="6">
        <v>8</v>
      </c>
      <c r="O46" s="6">
        <v>19</v>
      </c>
      <c r="P46" s="6">
        <f t="shared" si="1"/>
        <v>2736</v>
      </c>
      <c r="Q46" s="6">
        <v>24</v>
      </c>
      <c r="R46" s="6">
        <f t="shared" si="2"/>
        <v>648</v>
      </c>
      <c r="S46" s="6">
        <v>8</v>
      </c>
      <c r="T46" s="6">
        <f t="shared" si="3"/>
        <v>64</v>
      </c>
      <c r="U46" s="6">
        <f t="shared" si="4"/>
        <v>3448</v>
      </c>
      <c r="V46" s="6">
        <f t="shared" si="5"/>
        <v>34.480000000000004</v>
      </c>
      <c r="W46" s="6">
        <f t="shared" si="6"/>
        <v>172.4</v>
      </c>
      <c r="X46" s="6">
        <v>400</v>
      </c>
      <c r="Y46" s="6">
        <f t="shared" si="9"/>
        <v>520</v>
      </c>
      <c r="AA46" s="6">
        <f t="shared" si="7"/>
        <v>2721.12</v>
      </c>
    </row>
    <row r="47" spans="1:27" x14ac:dyDescent="0.3">
      <c r="AA47" s="3">
        <f>SUM(AA4:AA46)</f>
        <v>105649.36000000002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Ackim Mwanza</cp:lastModifiedBy>
  <dcterms:created xsi:type="dcterms:W3CDTF">2026-06-27T13:26:56Z</dcterms:created>
  <dcterms:modified xsi:type="dcterms:W3CDTF">2026-06-27T14:53:39Z</dcterms:modified>
</cp:coreProperties>
</file>