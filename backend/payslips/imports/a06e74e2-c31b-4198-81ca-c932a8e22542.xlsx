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2026 WORK\MES 2026\Payroll\New payroll\"/>
    </mc:Choice>
  </mc:AlternateContent>
  <xr:revisionPtr revIDLastSave="0" documentId="13_ncr:1_{B4A7AAA9-4032-4130-863D-A9037114B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73" i="1" l="1"/>
  <c r="W75" i="1"/>
  <c r="V75" i="1"/>
  <c r="U75" i="1"/>
  <c r="M74" i="1"/>
  <c r="N74" i="1"/>
  <c r="AF45" i="1"/>
  <c r="AD2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T62" i="1" s="1"/>
  <c r="N63" i="1"/>
  <c r="N64" i="1"/>
  <c r="N65" i="1"/>
  <c r="N66" i="1"/>
  <c r="N67" i="1"/>
  <c r="N68" i="1"/>
  <c r="N69" i="1"/>
  <c r="N70" i="1"/>
  <c r="N71" i="1"/>
  <c r="N72" i="1"/>
  <c r="N73" i="1"/>
  <c r="N4" i="1"/>
  <c r="P4" i="1"/>
  <c r="P62" i="1"/>
  <c r="P63" i="1"/>
  <c r="P64" i="1"/>
  <c r="P65" i="1"/>
  <c r="P66" i="1"/>
  <c r="P67" i="1"/>
  <c r="P68" i="1"/>
  <c r="P69" i="1"/>
  <c r="P70" i="1"/>
  <c r="P71" i="1"/>
  <c r="P72" i="1"/>
  <c r="P73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D73" i="1"/>
  <c r="AG73" i="1" s="1"/>
  <c r="AD72" i="1"/>
  <c r="AD71" i="1"/>
  <c r="AF71" i="1" s="1"/>
  <c r="AD70" i="1"/>
  <c r="AF70" i="1" s="1"/>
  <c r="AD69" i="1"/>
  <c r="AF69" i="1" s="1"/>
  <c r="AD68" i="1"/>
  <c r="AG68" i="1" s="1"/>
  <c r="AD67" i="1"/>
  <c r="AG67" i="1" s="1"/>
  <c r="AD66" i="1"/>
  <c r="AF66" i="1" s="1"/>
  <c r="AD65" i="1"/>
  <c r="AG65" i="1" s="1"/>
  <c r="AD64" i="1"/>
  <c r="AD63" i="1"/>
  <c r="AF63" i="1" s="1"/>
  <c r="AD62" i="1"/>
  <c r="AF62" i="1" s="1"/>
  <c r="Y62" i="1"/>
  <c r="Y63" i="1"/>
  <c r="Y64" i="1"/>
  <c r="Y65" i="1"/>
  <c r="Y66" i="1"/>
  <c r="Y67" i="1"/>
  <c r="Y68" i="1"/>
  <c r="Y69" i="1"/>
  <c r="Y70" i="1"/>
  <c r="Y71" i="1"/>
  <c r="Y72" i="1"/>
  <c r="Y73" i="1"/>
  <c r="T63" i="1"/>
  <c r="T64" i="1"/>
  <c r="T65" i="1"/>
  <c r="T66" i="1"/>
  <c r="T67" i="1"/>
  <c r="T68" i="1"/>
  <c r="T69" i="1"/>
  <c r="T70" i="1"/>
  <c r="T71" i="1"/>
  <c r="T72" i="1"/>
  <c r="T73" i="1"/>
  <c r="AG72" i="1" l="1"/>
  <c r="AF72" i="1"/>
  <c r="AG64" i="1"/>
  <c r="AF64" i="1"/>
  <c r="AH64" i="1" s="1"/>
  <c r="AG71" i="1"/>
  <c r="AG70" i="1"/>
  <c r="AH70" i="1" s="1"/>
  <c r="U72" i="1"/>
  <c r="AG66" i="1"/>
  <c r="AF68" i="1"/>
  <c r="AH68" i="1" s="1"/>
  <c r="AG63" i="1"/>
  <c r="AH63" i="1" s="1"/>
  <c r="U63" i="1"/>
  <c r="V63" i="1" s="1"/>
  <c r="AG62" i="1"/>
  <c r="AH62" i="1" s="1"/>
  <c r="U71" i="1"/>
  <c r="V71" i="1" s="1"/>
  <c r="U64" i="1"/>
  <c r="V64" i="1" s="1"/>
  <c r="AF67" i="1"/>
  <c r="AH71" i="1"/>
  <c r="AF73" i="1"/>
  <c r="AH73" i="1" s="1"/>
  <c r="AF65" i="1"/>
  <c r="AH65" i="1" s="1"/>
  <c r="AG69" i="1"/>
  <c r="AH69" i="1" s="1"/>
  <c r="U62" i="1"/>
  <c r="V62" i="1" s="1"/>
  <c r="AH67" i="1"/>
  <c r="U70" i="1"/>
  <c r="V70" i="1" s="1"/>
  <c r="U68" i="1"/>
  <c r="V68" i="1" s="1"/>
  <c r="U67" i="1"/>
  <c r="W67" i="1" s="1"/>
  <c r="U66" i="1"/>
  <c r="V66" i="1" s="1"/>
  <c r="U65" i="1"/>
  <c r="W65" i="1" s="1"/>
  <c r="U69" i="1"/>
  <c r="W69" i="1" s="1"/>
  <c r="AH66" i="1"/>
  <c r="U73" i="1"/>
  <c r="V73" i="1" s="1"/>
  <c r="W72" i="1"/>
  <c r="V72" i="1"/>
  <c r="AD61" i="1"/>
  <c r="AF61" i="1" s="1"/>
  <c r="AD60" i="1"/>
  <c r="AD59" i="1"/>
  <c r="AD58" i="1"/>
  <c r="AG58" i="1" s="1"/>
  <c r="AD57" i="1"/>
  <c r="AF57" i="1" s="1"/>
  <c r="AD56" i="1"/>
  <c r="AF56" i="1" s="1"/>
  <c r="AD55" i="1"/>
  <c r="AG55" i="1" s="1"/>
  <c r="AD54" i="1"/>
  <c r="AD53" i="1"/>
  <c r="AF53" i="1" s="1"/>
  <c r="AD52" i="1"/>
  <c r="AD51" i="1"/>
  <c r="AD50" i="1"/>
  <c r="AF50" i="1" s="1"/>
  <c r="AD49" i="1"/>
  <c r="AG49" i="1" s="1"/>
  <c r="AD48" i="1"/>
  <c r="AF48" i="1" s="1"/>
  <c r="AD47" i="1"/>
  <c r="AG47" i="1" s="1"/>
  <c r="AD46" i="1"/>
  <c r="AD26" i="1"/>
  <c r="AD25" i="1"/>
  <c r="AF25" i="1" s="1"/>
  <c r="AD24" i="1"/>
  <c r="AD23" i="1"/>
  <c r="AF23" i="1" s="1"/>
  <c r="AD22" i="1"/>
  <c r="AF22" i="1" s="1"/>
  <c r="AD21" i="1"/>
  <c r="AG21" i="1" s="1"/>
  <c r="AD20" i="1"/>
  <c r="AD19" i="1"/>
  <c r="AG19" i="1" s="1"/>
  <c r="AD18" i="1"/>
  <c r="AD17" i="1"/>
  <c r="AF17" i="1" s="1"/>
  <c r="AD16" i="1"/>
  <c r="AG16" i="1" s="1"/>
  <c r="AD15" i="1"/>
  <c r="AF15" i="1" s="1"/>
  <c r="AD14" i="1"/>
  <c r="AG14" i="1" s="1"/>
  <c r="AD13" i="1"/>
  <c r="AD12" i="1"/>
  <c r="AG12" i="1" s="1"/>
  <c r="AD11" i="1"/>
  <c r="AD10" i="1"/>
  <c r="AF10" i="1" s="1"/>
  <c r="AD9" i="1"/>
  <c r="AF9" i="1" s="1"/>
  <c r="AD8" i="1"/>
  <c r="AF8" i="1" s="1"/>
  <c r="AD7" i="1"/>
  <c r="AG7" i="1" s="1"/>
  <c r="AD6" i="1"/>
  <c r="AG6" i="1" s="1"/>
  <c r="AD5" i="1"/>
  <c r="AF5" i="1" s="1"/>
  <c r="AD4" i="1"/>
  <c r="AG4" i="1" s="1"/>
  <c r="AG5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50" i="1"/>
  <c r="AG51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7" i="1"/>
  <c r="AF51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4" i="1"/>
  <c r="AH72" i="1" l="1"/>
  <c r="AG46" i="1"/>
  <c r="AF46" i="1"/>
  <c r="AH46" i="1" s="1"/>
  <c r="AG26" i="1"/>
  <c r="AF26" i="1"/>
  <c r="AH26" i="1" s="1"/>
  <c r="AG11" i="1"/>
  <c r="AF11" i="1"/>
  <c r="AH11" i="1" s="1"/>
  <c r="AH42" i="1"/>
  <c r="AH34" i="1"/>
  <c r="AG60" i="1"/>
  <c r="AF60" i="1"/>
  <c r="AG59" i="1"/>
  <c r="AF59" i="1"/>
  <c r="AF54" i="1"/>
  <c r="AG54" i="1"/>
  <c r="AG52" i="1"/>
  <c r="AF52" i="1"/>
  <c r="AH52" i="1" s="1"/>
  <c r="AF24" i="1"/>
  <c r="AG24" i="1"/>
  <c r="AF20" i="1"/>
  <c r="AG20" i="1"/>
  <c r="AG18" i="1"/>
  <c r="AF18" i="1"/>
  <c r="AH18" i="1" s="1"/>
  <c r="AF13" i="1"/>
  <c r="AG13" i="1"/>
  <c r="W62" i="1"/>
  <c r="AA62" i="1" s="1"/>
  <c r="M80" i="1"/>
  <c r="AH40" i="1"/>
  <c r="AH32" i="1"/>
  <c r="AH39" i="1"/>
  <c r="AH31" i="1"/>
  <c r="AG8" i="1"/>
  <c r="AH8" i="1" s="1"/>
  <c r="AG23" i="1"/>
  <c r="AH23" i="1" s="1"/>
  <c r="AH43" i="1"/>
  <c r="AH35" i="1"/>
  <c r="AG9" i="1"/>
  <c r="AA72" i="1"/>
  <c r="W64" i="1"/>
  <c r="AA64" i="1" s="1"/>
  <c r="AH33" i="1"/>
  <c r="W63" i="1"/>
  <c r="AA63" i="1" s="1"/>
  <c r="AF7" i="1"/>
  <c r="AH7" i="1" s="1"/>
  <c r="AG15" i="1"/>
  <c r="AH15" i="1" s="1"/>
  <c r="W70" i="1"/>
  <c r="AA70" i="1" s="1"/>
  <c r="AG22" i="1"/>
  <c r="AH22" i="1" s="1"/>
  <c r="AH41" i="1"/>
  <c r="AF58" i="1"/>
  <c r="AH58" i="1" s="1"/>
  <c r="AH45" i="1"/>
  <c r="AH37" i="1"/>
  <c r="AH29" i="1"/>
  <c r="W71" i="1"/>
  <c r="AA71" i="1" s="1"/>
  <c r="AH50" i="1"/>
  <c r="AF55" i="1"/>
  <c r="AH55" i="1" s="1"/>
  <c r="AF16" i="1"/>
  <c r="AH16" i="1" s="1"/>
  <c r="AF4" i="1"/>
  <c r="AH4" i="1" s="1"/>
  <c r="AH38" i="1"/>
  <c r="AH30" i="1"/>
  <c r="AH44" i="1"/>
  <c r="AH36" i="1"/>
  <c r="AH28" i="1"/>
  <c r="W73" i="1"/>
  <c r="AA73" i="1" s="1"/>
  <c r="W68" i="1"/>
  <c r="AA68" i="1" s="1"/>
  <c r="W66" i="1"/>
  <c r="AA66" i="1" s="1"/>
  <c r="V69" i="1"/>
  <c r="AA69" i="1" s="1"/>
  <c r="V67" i="1"/>
  <c r="AA67" i="1" s="1"/>
  <c r="V65" i="1"/>
  <c r="AA65" i="1" s="1"/>
  <c r="AG57" i="1"/>
  <c r="AH57" i="1" s="1"/>
  <c r="AF49" i="1"/>
  <c r="AH49" i="1" s="1"/>
  <c r="AG56" i="1"/>
  <c r="AH56" i="1" s="1"/>
  <c r="AG48" i="1"/>
  <c r="AH48" i="1" s="1"/>
  <c r="AG61" i="1"/>
  <c r="AH61" i="1" s="1"/>
  <c r="AG53" i="1"/>
  <c r="AH53" i="1" s="1"/>
  <c r="AH51" i="1"/>
  <c r="AH47" i="1"/>
  <c r="AG25" i="1"/>
  <c r="AH25" i="1" s="1"/>
  <c r="AG17" i="1"/>
  <c r="AH17" i="1" s="1"/>
  <c r="AG10" i="1"/>
  <c r="AH10" i="1" s="1"/>
  <c r="AF21" i="1"/>
  <c r="AH21" i="1" s="1"/>
  <c r="AF14" i="1"/>
  <c r="AH14" i="1" s="1"/>
  <c r="AF6" i="1"/>
  <c r="AH6" i="1" s="1"/>
  <c r="AH5" i="1"/>
  <c r="AF19" i="1"/>
  <c r="AH19" i="1" s="1"/>
  <c r="AF12" i="1"/>
  <c r="AH12" i="1" s="1"/>
  <c r="AH9" i="1"/>
  <c r="AH27" i="1"/>
  <c r="AH60" i="1" l="1"/>
  <c r="AH59" i="1"/>
  <c r="AH54" i="1"/>
  <c r="AI61" i="1" s="1"/>
  <c r="F80" i="1" s="1"/>
  <c r="AH24" i="1"/>
  <c r="AI27" i="1" s="1"/>
  <c r="AH20" i="1"/>
  <c r="AH13" i="1"/>
  <c r="L80" i="1"/>
  <c r="L81" i="1" s="1"/>
  <c r="L82" i="1" s="1"/>
  <c r="AI45" i="1"/>
  <c r="H80" i="1" s="1"/>
  <c r="H81" i="1" s="1"/>
  <c r="H82" i="1" s="1"/>
  <c r="M81" i="1"/>
  <c r="M82" i="1" s="1"/>
  <c r="J80" i="1" l="1"/>
  <c r="G84" i="1" s="1"/>
  <c r="F81" i="1"/>
  <c r="F82" i="1" s="1"/>
  <c r="Y61" i="1"/>
  <c r="P61" i="1"/>
  <c r="T61" i="1"/>
  <c r="R61" i="1"/>
  <c r="Y60" i="1"/>
  <c r="P60" i="1"/>
  <c r="T60" i="1"/>
  <c r="R60" i="1"/>
  <c r="Y59" i="1"/>
  <c r="P59" i="1"/>
  <c r="T59" i="1"/>
  <c r="R59" i="1"/>
  <c r="Y58" i="1"/>
  <c r="P58" i="1"/>
  <c r="T58" i="1"/>
  <c r="R58" i="1"/>
  <c r="Y57" i="1"/>
  <c r="P57" i="1"/>
  <c r="T57" i="1"/>
  <c r="R57" i="1"/>
  <c r="Y56" i="1"/>
  <c r="P56" i="1"/>
  <c r="T56" i="1"/>
  <c r="R56" i="1"/>
  <c r="Y55" i="1"/>
  <c r="P55" i="1"/>
  <c r="T55" i="1"/>
  <c r="R55" i="1"/>
  <c r="Y54" i="1"/>
  <c r="P54" i="1"/>
  <c r="T54" i="1"/>
  <c r="R54" i="1"/>
  <c r="Y53" i="1"/>
  <c r="P53" i="1"/>
  <c r="T53" i="1"/>
  <c r="R53" i="1"/>
  <c r="Y52" i="1"/>
  <c r="P52" i="1"/>
  <c r="T52" i="1"/>
  <c r="R52" i="1"/>
  <c r="Y51" i="1"/>
  <c r="P51" i="1"/>
  <c r="T51" i="1"/>
  <c r="R51" i="1"/>
  <c r="Y50" i="1"/>
  <c r="P50" i="1"/>
  <c r="T50" i="1"/>
  <c r="R50" i="1"/>
  <c r="Y49" i="1"/>
  <c r="P49" i="1"/>
  <c r="T49" i="1"/>
  <c r="R49" i="1"/>
  <c r="Y48" i="1"/>
  <c r="P48" i="1"/>
  <c r="T48" i="1"/>
  <c r="R48" i="1"/>
  <c r="Y47" i="1"/>
  <c r="P47" i="1"/>
  <c r="T47" i="1"/>
  <c r="R47" i="1"/>
  <c r="J81" i="1" l="1"/>
  <c r="J82" i="1" s="1"/>
  <c r="U59" i="1"/>
  <c r="W59" i="1" s="1"/>
  <c r="U58" i="1"/>
  <c r="W58" i="1" s="1"/>
  <c r="U56" i="1"/>
  <c r="U60" i="1"/>
  <c r="W60" i="1" s="1"/>
  <c r="U52" i="1"/>
  <c r="V52" i="1" s="1"/>
  <c r="U57" i="1"/>
  <c r="V57" i="1" s="1"/>
  <c r="U49" i="1"/>
  <c r="W49" i="1" s="1"/>
  <c r="U48" i="1"/>
  <c r="W48" i="1" s="1"/>
  <c r="U61" i="1"/>
  <c r="W61" i="1" s="1"/>
  <c r="U53" i="1"/>
  <c r="W53" i="1" s="1"/>
  <c r="U55" i="1"/>
  <c r="U50" i="1"/>
  <c r="U47" i="1"/>
  <c r="U54" i="1"/>
  <c r="U51" i="1"/>
  <c r="Y46" i="1"/>
  <c r="T46" i="1"/>
  <c r="P46" i="1"/>
  <c r="R46" i="1"/>
  <c r="V56" i="1" l="1"/>
  <c r="W56" i="1"/>
  <c r="V59" i="1"/>
  <c r="AA59" i="1" s="1"/>
  <c r="AA56" i="1"/>
  <c r="W52" i="1"/>
  <c r="AA52" i="1" s="1"/>
  <c r="V58" i="1"/>
  <c r="AA58" i="1" s="1"/>
  <c r="V60" i="1"/>
  <c r="AA60" i="1" s="1"/>
  <c r="V48" i="1"/>
  <c r="AA48" i="1" s="1"/>
  <c r="V49" i="1"/>
  <c r="AA49" i="1" s="1"/>
  <c r="V53" i="1"/>
  <c r="AA53" i="1" s="1"/>
  <c r="V61" i="1"/>
  <c r="AA61" i="1" s="1"/>
  <c r="W57" i="1"/>
  <c r="AA57" i="1" s="1"/>
  <c r="U46" i="1"/>
  <c r="W47" i="1"/>
  <c r="V47" i="1"/>
  <c r="W50" i="1"/>
  <c r="V50" i="1"/>
  <c r="W51" i="1"/>
  <c r="V51" i="1"/>
  <c r="W54" i="1"/>
  <c r="V54" i="1"/>
  <c r="V55" i="1"/>
  <c r="W55" i="1"/>
  <c r="Y45" i="1"/>
  <c r="T45" i="1"/>
  <c r="P45" i="1"/>
  <c r="Y44" i="1"/>
  <c r="T44" i="1"/>
  <c r="P44" i="1"/>
  <c r="Y43" i="1"/>
  <c r="T43" i="1"/>
  <c r="P43" i="1"/>
  <c r="Y42" i="1"/>
  <c r="T42" i="1"/>
  <c r="P42" i="1"/>
  <c r="Y41" i="1"/>
  <c r="T41" i="1"/>
  <c r="P41" i="1"/>
  <c r="Y40" i="1"/>
  <c r="T40" i="1"/>
  <c r="P40" i="1"/>
  <c r="Y39" i="1"/>
  <c r="T39" i="1"/>
  <c r="P39" i="1"/>
  <c r="Y38" i="1"/>
  <c r="T38" i="1"/>
  <c r="P38" i="1"/>
  <c r="Y37" i="1"/>
  <c r="T37" i="1"/>
  <c r="P37" i="1"/>
  <c r="Y36" i="1"/>
  <c r="T36" i="1"/>
  <c r="P36" i="1"/>
  <c r="Y35" i="1"/>
  <c r="T35" i="1"/>
  <c r="P35" i="1"/>
  <c r="Y34" i="1"/>
  <c r="T34" i="1"/>
  <c r="P34" i="1"/>
  <c r="Y33" i="1"/>
  <c r="T33" i="1"/>
  <c r="P33" i="1"/>
  <c r="Y32" i="1"/>
  <c r="T32" i="1"/>
  <c r="P32" i="1"/>
  <c r="Y31" i="1"/>
  <c r="T31" i="1"/>
  <c r="P31" i="1"/>
  <c r="Y30" i="1"/>
  <c r="T30" i="1"/>
  <c r="P30" i="1"/>
  <c r="Y29" i="1"/>
  <c r="T29" i="1"/>
  <c r="P29" i="1"/>
  <c r="Y28" i="1"/>
  <c r="T28" i="1"/>
  <c r="P28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AA50" i="1" l="1"/>
  <c r="AA51" i="1"/>
  <c r="AA55" i="1"/>
  <c r="AA54" i="1"/>
  <c r="V46" i="1"/>
  <c r="W46" i="1"/>
  <c r="AA47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1" i="1"/>
  <c r="R22" i="1"/>
  <c r="R23" i="1"/>
  <c r="R24" i="1"/>
  <c r="R25" i="1"/>
  <c r="R26" i="1"/>
  <c r="R27" i="1"/>
  <c r="R20" i="1"/>
  <c r="T21" i="1"/>
  <c r="T22" i="1"/>
  <c r="T23" i="1"/>
  <c r="T24" i="1"/>
  <c r="T25" i="1"/>
  <c r="T26" i="1"/>
  <c r="T27" i="1"/>
  <c r="T2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U21" i="1" l="1"/>
  <c r="V21" i="1" s="1"/>
  <c r="AA46" i="1"/>
  <c r="U22" i="1"/>
  <c r="W22" i="1" s="1"/>
  <c r="U25" i="1"/>
  <c r="V25" i="1" s="1"/>
  <c r="U27" i="1"/>
  <c r="W27" i="1" s="1"/>
  <c r="U23" i="1"/>
  <c r="U20" i="1"/>
  <c r="V20" i="1" s="1"/>
  <c r="U26" i="1"/>
  <c r="V26" i="1" s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4" i="1"/>
  <c r="W24" i="1" s="1"/>
  <c r="U9" i="1"/>
  <c r="U10" i="1"/>
  <c r="U11" i="1"/>
  <c r="U13" i="1"/>
  <c r="U14" i="1"/>
  <c r="U15" i="1"/>
  <c r="U17" i="1"/>
  <c r="U18" i="1"/>
  <c r="U19" i="1"/>
  <c r="U12" i="1"/>
  <c r="U16" i="1"/>
  <c r="U4" i="1"/>
  <c r="U5" i="1"/>
  <c r="U6" i="1"/>
  <c r="U7" i="1"/>
  <c r="U8" i="1"/>
  <c r="W23" i="1" l="1"/>
  <c r="V23" i="1"/>
  <c r="W21" i="1"/>
  <c r="AA21" i="1" s="1"/>
  <c r="W20" i="1"/>
  <c r="AA20" i="1" s="1"/>
  <c r="V27" i="1"/>
  <c r="AA27" i="1" s="1"/>
  <c r="V22" i="1"/>
  <c r="AA22" i="1" s="1"/>
  <c r="W26" i="1"/>
  <c r="AA26" i="1" s="1"/>
  <c r="W25" i="1"/>
  <c r="AA25" i="1" s="1"/>
  <c r="AA23" i="1"/>
  <c r="V24" i="1"/>
  <c r="AA24" i="1" s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4" i="1"/>
  <c r="V4" i="1"/>
  <c r="W5" i="1"/>
  <c r="V5" i="1"/>
  <c r="W9" i="1"/>
  <c r="V9" i="1"/>
  <c r="W10" i="1"/>
  <c r="V10" i="1"/>
  <c r="V11" i="1"/>
  <c r="W11" i="1"/>
  <c r="V13" i="1"/>
  <c r="W13" i="1"/>
  <c r="V14" i="1"/>
  <c r="W14" i="1"/>
  <c r="V15" i="1"/>
  <c r="W15" i="1"/>
  <c r="W17" i="1"/>
  <c r="V17" i="1"/>
  <c r="V18" i="1"/>
  <c r="W18" i="1"/>
  <c r="W19" i="1"/>
  <c r="V19" i="1"/>
  <c r="V12" i="1"/>
  <c r="W12" i="1"/>
  <c r="W6" i="1"/>
  <c r="V6" i="1"/>
  <c r="W7" i="1"/>
  <c r="V7" i="1"/>
  <c r="W8" i="1"/>
  <c r="V8" i="1"/>
  <c r="V16" i="1"/>
  <c r="W16" i="1"/>
  <c r="G85" i="1" l="1"/>
  <c r="G86" i="1" s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4" i="1"/>
  <c r="AA5" i="1"/>
  <c r="AA10" i="1"/>
  <c r="AA19" i="1"/>
  <c r="AA6" i="1"/>
  <c r="AA7" i="1"/>
  <c r="AA8" i="1"/>
  <c r="AA14" i="1"/>
  <c r="AA12" i="1"/>
  <c r="AA9" i="1"/>
  <c r="AA16" i="1"/>
  <c r="AA13" i="1"/>
  <c r="AA17" i="1"/>
  <c r="AA18" i="1"/>
  <c r="AA11" i="1"/>
  <c r="AA15" i="1"/>
</calcChain>
</file>

<file path=xl/sharedStrings.xml><?xml version="1.0" encoding="utf-8"?>
<sst xmlns="http://schemas.openxmlformats.org/spreadsheetml/2006/main" count="510" uniqueCount="337">
  <si>
    <t>S/N</t>
  </si>
  <si>
    <t>EMPLOYEE NUMBER</t>
  </si>
  <si>
    <t>NAMES</t>
  </si>
  <si>
    <t>NRC</t>
  </si>
  <si>
    <t>JOB TITTLE</t>
  </si>
  <si>
    <t>SITE</t>
  </si>
  <si>
    <t>PHONE NUMBER</t>
  </si>
  <si>
    <t>EMAIL</t>
  </si>
  <si>
    <t>ACCOUNT NUMBER</t>
  </si>
  <si>
    <t>SORT CODE</t>
  </si>
  <si>
    <t>RATE/HRS</t>
  </si>
  <si>
    <t>NORMAL WORKING HRS</t>
  </si>
  <si>
    <t>OVER TIME RATE</t>
  </si>
  <si>
    <t>HOLIDAY OVERTIME RATE</t>
  </si>
  <si>
    <t>PRESENT DAYS</t>
  </si>
  <si>
    <t>PRESENT AMOUNT</t>
  </si>
  <si>
    <t>OVERT TIME</t>
  </si>
  <si>
    <t>OVER TIME AMOUNT</t>
  </si>
  <si>
    <t>HOLIDAY OVER TIME</t>
  </si>
  <si>
    <t>HOLIDAY OVER TIME AMOUNT</t>
  </si>
  <si>
    <t>GROSS SALARY</t>
  </si>
  <si>
    <t>NHIMA</t>
  </si>
  <si>
    <t>NAPSA</t>
  </si>
  <si>
    <t>SOFT LOAN</t>
  </si>
  <si>
    <t>SOFT LOAN DEDUCTION</t>
  </si>
  <si>
    <t>OTHER DEDUCTION</t>
  </si>
  <si>
    <t>NET PAY</t>
  </si>
  <si>
    <t>PEARSON MUSONDA</t>
  </si>
  <si>
    <t>OWEN YOTAMU</t>
  </si>
  <si>
    <t>RONALD KACHUSHA</t>
  </si>
  <si>
    <t>EMMANUEL NGULUBE</t>
  </si>
  <si>
    <t>FELIX NGULUBE</t>
  </si>
  <si>
    <t>LUKUNDO MUSUKUMA</t>
  </si>
  <si>
    <t>KELVIS VISWAMO</t>
  </si>
  <si>
    <t>BROWN MUTEMBO</t>
  </si>
  <si>
    <t>ALINANI SIMBEYE</t>
  </si>
  <si>
    <t>JEFFITON CHILAMBWE</t>
  </si>
  <si>
    <t>ENOCK MUSONDA</t>
  </si>
  <si>
    <t>KELVIN KANYIKA</t>
  </si>
  <si>
    <t>JAMES CHIPISA</t>
  </si>
  <si>
    <t>DERRICK MAMBWE</t>
  </si>
  <si>
    <t>GODWIN KASHALA</t>
  </si>
  <si>
    <t>FRANK M CHUSHI</t>
  </si>
  <si>
    <t>JOHN CHOLA</t>
  </si>
  <si>
    <t>GEOFREY BWALE</t>
  </si>
  <si>
    <t>LAVINSON CHAMA</t>
  </si>
  <si>
    <t>GEOFREY MULENGA</t>
  </si>
  <si>
    <t>TASILA BANDA</t>
  </si>
  <si>
    <t>JOSEPH MALULU</t>
  </si>
  <si>
    <t>SHADRICK CHITENGI</t>
  </si>
  <si>
    <t>NANCY MUSUKWA</t>
  </si>
  <si>
    <t>320902/66/1</t>
  </si>
  <si>
    <t>288616/66/1</t>
  </si>
  <si>
    <t>284711/66/1</t>
  </si>
  <si>
    <t>338749/24/1</t>
  </si>
  <si>
    <t>669946/67/1</t>
  </si>
  <si>
    <t>359631/66/1</t>
  </si>
  <si>
    <t>169602/22/1</t>
  </si>
  <si>
    <t>364722/66/1</t>
  </si>
  <si>
    <t>411276/66/1</t>
  </si>
  <si>
    <t>405012/66/1</t>
  </si>
  <si>
    <t>270825/32/1</t>
  </si>
  <si>
    <t>264961/63/1</t>
  </si>
  <si>
    <t>383589/66/1</t>
  </si>
  <si>
    <t>199829/31/1</t>
  </si>
  <si>
    <t>350691/64/1</t>
  </si>
  <si>
    <t>340142/66/1</t>
  </si>
  <si>
    <t>270177/66/1</t>
  </si>
  <si>
    <t>291631/66/1</t>
  </si>
  <si>
    <t>310440/66/1</t>
  </si>
  <si>
    <t>303863/66/1</t>
  </si>
  <si>
    <t>373274/66/1</t>
  </si>
  <si>
    <t>326782/66/1</t>
  </si>
  <si>
    <t>501868/22/1</t>
  </si>
  <si>
    <t>315125/66/1</t>
  </si>
  <si>
    <t>SCAFFOLDER</t>
  </si>
  <si>
    <t>SAFETY OFFICER</t>
  </si>
  <si>
    <t>WORKMAN</t>
  </si>
  <si>
    <t>OPERATOR</t>
  </si>
  <si>
    <t>RIGGER</t>
  </si>
  <si>
    <t>BRICKLAYER</t>
  </si>
  <si>
    <t>STEEL FIXER</t>
  </si>
  <si>
    <t>MASON</t>
  </si>
  <si>
    <t>CARPENTER</t>
  </si>
  <si>
    <t>TIME KEEPER</t>
  </si>
  <si>
    <t>BOILER MAKER</t>
  </si>
  <si>
    <t>TM/TIPPER DRIVER</t>
  </si>
  <si>
    <t>MUFULIRA</t>
  </si>
  <si>
    <t>MES0040</t>
  </si>
  <si>
    <t>MES0041</t>
  </si>
  <si>
    <t>MES0042</t>
  </si>
  <si>
    <t>MES0043</t>
  </si>
  <si>
    <t>MES0044</t>
  </si>
  <si>
    <t>MES0045</t>
  </si>
  <si>
    <t>MES0046</t>
  </si>
  <si>
    <t>MES0047</t>
  </si>
  <si>
    <t>MES0048</t>
  </si>
  <si>
    <t>MES0049</t>
  </si>
  <si>
    <t>MES0050</t>
  </si>
  <si>
    <t>MES0051</t>
  </si>
  <si>
    <t>MES0052</t>
  </si>
  <si>
    <t>MES0054</t>
  </si>
  <si>
    <t>MES0055</t>
  </si>
  <si>
    <t>MES0056</t>
  </si>
  <si>
    <t>MES0057</t>
  </si>
  <si>
    <t>MES0058</t>
  </si>
  <si>
    <t>MES0059</t>
  </si>
  <si>
    <t>MES0060</t>
  </si>
  <si>
    <t>MES0061</t>
  </si>
  <si>
    <t>MES0062</t>
  </si>
  <si>
    <t>MES0063</t>
  </si>
  <si>
    <t>MES0064</t>
  </si>
  <si>
    <t>0651871923201</t>
  </si>
  <si>
    <t>0651810613201</t>
  </si>
  <si>
    <t>0651876723201</t>
  </si>
  <si>
    <t>0651810583201</t>
  </si>
  <si>
    <t>0651810523201</t>
  </si>
  <si>
    <t>0081010011555</t>
  </si>
  <si>
    <t>1723502100286</t>
  </si>
  <si>
    <t>0651810623201</t>
  </si>
  <si>
    <t>0651810603201</t>
  </si>
  <si>
    <t>0651810563201</t>
  </si>
  <si>
    <t>0651810553201</t>
  </si>
  <si>
    <t>0651810653201</t>
  </si>
  <si>
    <t>0651810633201</t>
  </si>
  <si>
    <t>0651834533201</t>
  </si>
  <si>
    <t>0651876703201</t>
  </si>
  <si>
    <t>9130005932193</t>
  </si>
  <si>
    <t>0651834433201</t>
  </si>
  <si>
    <t>7502576100160</t>
  </si>
  <si>
    <t>0136593576028</t>
  </si>
  <si>
    <t>510565</t>
  </si>
  <si>
    <t>090208</t>
  </si>
  <si>
    <t>010245</t>
  </si>
  <si>
    <t>040514</t>
  </si>
  <si>
    <t>350558</t>
  </si>
  <si>
    <t>MES0014</t>
  </si>
  <si>
    <t>DANNY MULENGA</t>
  </si>
  <si>
    <t>319628/66/1</t>
  </si>
  <si>
    <t>63059667601</t>
  </si>
  <si>
    <t>260006</t>
  </si>
  <si>
    <t>MES0015</t>
  </si>
  <si>
    <t>EMMANUEL CHIPASHA</t>
  </si>
  <si>
    <t>403074/16/1</t>
  </si>
  <si>
    <t>9130007664609</t>
  </si>
  <si>
    <t>MES0016</t>
  </si>
  <si>
    <t>SIMON KASONGO</t>
  </si>
  <si>
    <t>103615/37/1</t>
  </si>
  <si>
    <t>0135986568013</t>
  </si>
  <si>
    <t>MES0017</t>
  </si>
  <si>
    <t>BIZWELL SICHALWE</t>
  </si>
  <si>
    <t>199683/66/1</t>
  </si>
  <si>
    <t>0135994560010</t>
  </si>
  <si>
    <t>MES0018</t>
  </si>
  <si>
    <t>MISHECK BANDA</t>
  </si>
  <si>
    <t>333280/66/1</t>
  </si>
  <si>
    <t>63143329810</t>
  </si>
  <si>
    <t>MES0019</t>
  </si>
  <si>
    <t>EVANS KONALA</t>
  </si>
  <si>
    <t>340632/66/1</t>
  </si>
  <si>
    <t>ASSISTANT</t>
  </si>
  <si>
    <t>0136029333012</t>
  </si>
  <si>
    <t>MES0020</t>
  </si>
  <si>
    <t>KENNETH MKANDAWIRE</t>
  </si>
  <si>
    <t>277926/67/1</t>
  </si>
  <si>
    <t>STORE MAN</t>
  </si>
  <si>
    <t>63009363522</t>
  </si>
  <si>
    <t>MES0021</t>
  </si>
  <si>
    <t>GIVEN CHIKONDE</t>
  </si>
  <si>
    <t>385276/66/1</t>
  </si>
  <si>
    <t>9130007935041</t>
  </si>
  <si>
    <t>MES0022</t>
  </si>
  <si>
    <t>CHALWE CHIBUYE</t>
  </si>
  <si>
    <t>350750/66/1</t>
  </si>
  <si>
    <t>FITTER</t>
  </si>
  <si>
    <t>0136425002018</t>
  </si>
  <si>
    <t>MES0023</t>
  </si>
  <si>
    <t>GILBERT LUNGU</t>
  </si>
  <si>
    <t>287225/66/1</t>
  </si>
  <si>
    <t>0091010002639</t>
  </si>
  <si>
    <t>MES0031</t>
  </si>
  <si>
    <t>KELVIN CHISOPA</t>
  </si>
  <si>
    <t>296242/66/1</t>
  </si>
  <si>
    <t>0651877003201</t>
  </si>
  <si>
    <t>MES0024</t>
  </si>
  <si>
    <t>EDWARD NKANDU</t>
  </si>
  <si>
    <t>113064/45/1</t>
  </si>
  <si>
    <t>MECHANIC</t>
  </si>
  <si>
    <t>0651712773201</t>
  </si>
  <si>
    <t>MES0025</t>
  </si>
  <si>
    <t>EDINA JERE</t>
  </si>
  <si>
    <t>376572/66/1</t>
  </si>
  <si>
    <t>0651810593201</t>
  </si>
  <si>
    <t>MES0026</t>
  </si>
  <si>
    <t>STEPHAN NYIRONGO</t>
  </si>
  <si>
    <t>520626/61/1</t>
  </si>
  <si>
    <t>0091010002649</t>
  </si>
  <si>
    <t>MES0027</t>
  </si>
  <si>
    <t>GREGORY CHABU</t>
  </si>
  <si>
    <t>445372/67/1</t>
  </si>
  <si>
    <t>9130007937370</t>
  </si>
  <si>
    <t>MES0028</t>
  </si>
  <si>
    <t>RODWELL SIMWANZA</t>
  </si>
  <si>
    <t>293671/66/1</t>
  </si>
  <si>
    <t>0136603547029</t>
  </si>
  <si>
    <t>MES0029</t>
  </si>
  <si>
    <t>FRANCIS MUMBA</t>
  </si>
  <si>
    <t>341230/66/1</t>
  </si>
  <si>
    <t>0136596058028</t>
  </si>
  <si>
    <t>MES0030</t>
  </si>
  <si>
    <t>HARRISON NDOLO</t>
  </si>
  <si>
    <t>320037/66/1</t>
  </si>
  <si>
    <t>ELECTRICIAN</t>
  </si>
  <si>
    <t>0091010003927</t>
  </si>
  <si>
    <t xml:space="preserve">LUCKSON KAMBALE </t>
  </si>
  <si>
    <t>355479/61/1</t>
  </si>
  <si>
    <t>MES0001</t>
  </si>
  <si>
    <t>ASSITANT HR</t>
  </si>
  <si>
    <t>KITWE</t>
  </si>
  <si>
    <t>0967654039</t>
  </si>
  <si>
    <t>ROBERT LUNDWE</t>
  </si>
  <si>
    <t>MES0002</t>
  </si>
  <si>
    <t>0778390801</t>
  </si>
  <si>
    <t>GIFT KUPANDA</t>
  </si>
  <si>
    <t>MES0003</t>
  </si>
  <si>
    <t>MULTI SKILLED OPT</t>
  </si>
  <si>
    <t>0760867512</t>
  </si>
  <si>
    <t>JOSHUA MWANGO</t>
  </si>
  <si>
    <t>MES0004</t>
  </si>
  <si>
    <t>0773996154</t>
  </si>
  <si>
    <t>ALINANI SICHILIMA</t>
  </si>
  <si>
    <t>MES0005</t>
  </si>
  <si>
    <t>TIPPER DRIVER</t>
  </si>
  <si>
    <t>0772132804</t>
  </si>
  <si>
    <t>HENRY TULUMBA</t>
  </si>
  <si>
    <t>MES0006</t>
  </si>
  <si>
    <t>0962698209</t>
  </si>
  <si>
    <t>CHRISTOPHER BWALYA</t>
  </si>
  <si>
    <t>MES0007</t>
  </si>
  <si>
    <t>0969362810</t>
  </si>
  <si>
    <t>LAWRENCE KALUFYANYA</t>
  </si>
  <si>
    <t>MES0008</t>
  </si>
  <si>
    <t>0974834114</t>
  </si>
  <si>
    <t>ALEX KATEBE</t>
  </si>
  <si>
    <t>MES0009</t>
  </si>
  <si>
    <t>STORE KEEPER</t>
  </si>
  <si>
    <t>0966146104</t>
  </si>
  <si>
    <t>MATHEW SIMWANZA</t>
  </si>
  <si>
    <t>MES00010</t>
  </si>
  <si>
    <t>HELPER</t>
  </si>
  <si>
    <t>0960897685</t>
  </si>
  <si>
    <t>EZEKIEL MWANZA</t>
  </si>
  <si>
    <t>MES00011</t>
  </si>
  <si>
    <t>0767933571</t>
  </si>
  <si>
    <t>KUNDANANJI SIAME</t>
  </si>
  <si>
    <t>MES00012</t>
  </si>
  <si>
    <t>0969256463</t>
  </si>
  <si>
    <t>CHANDA CHILESHE</t>
  </si>
  <si>
    <t>MES00013</t>
  </si>
  <si>
    <t>0771618227</t>
  </si>
  <si>
    <t>BERNARD CHIPULU</t>
  </si>
  <si>
    <t>MES00014</t>
  </si>
  <si>
    <t>0772793906</t>
  </si>
  <si>
    <t>ALBERT MATETE</t>
  </si>
  <si>
    <t>MES00015</t>
  </si>
  <si>
    <t>0965711448</t>
  </si>
  <si>
    <t>JONATHAN MUNSIMBA</t>
  </si>
  <si>
    <t>MES00016</t>
  </si>
  <si>
    <t>0571382617</t>
  </si>
  <si>
    <t>AMSL RATE</t>
  </si>
  <si>
    <t>AMSL OT RATE</t>
  </si>
  <si>
    <t>NOT AMOUNT</t>
  </si>
  <si>
    <t>HOT AMOUNT</t>
  </si>
  <si>
    <t>TOTAL AMOUNT</t>
  </si>
  <si>
    <t>Company Cash Flow</t>
  </si>
  <si>
    <t>Kitwe Invoice</t>
  </si>
  <si>
    <t>Sub Total</t>
  </si>
  <si>
    <t>Vat @ 16%</t>
  </si>
  <si>
    <t>Total</t>
  </si>
  <si>
    <t>Mufulira Smelter</t>
  </si>
  <si>
    <t xml:space="preserve">Mufulira Mining </t>
  </si>
  <si>
    <t>Chingola</t>
  </si>
  <si>
    <t>Total Sub Monthly Acumulated:</t>
  </si>
  <si>
    <t>Company Profit:</t>
  </si>
  <si>
    <t>Employee Gross Pay:</t>
  </si>
  <si>
    <t>Amount</t>
  </si>
  <si>
    <t>MES1001</t>
  </si>
  <si>
    <t>MES1002</t>
  </si>
  <si>
    <t>MES1003</t>
  </si>
  <si>
    <t>MES1004</t>
  </si>
  <si>
    <t>MES1005</t>
  </si>
  <si>
    <t>MES1006</t>
  </si>
  <si>
    <t>MES1007</t>
  </si>
  <si>
    <t>MES1008</t>
  </si>
  <si>
    <t>MES1009</t>
  </si>
  <si>
    <t>MES1010</t>
  </si>
  <si>
    <t>MES1011</t>
  </si>
  <si>
    <t>MES1012</t>
  </si>
  <si>
    <t>BALDWIN CHILELA</t>
  </si>
  <si>
    <t>RANDY BWALYA</t>
  </si>
  <si>
    <t>BRIAN CHIBESA</t>
  </si>
  <si>
    <t>JOSEPH BANDA</t>
  </si>
  <si>
    <t>ALEX MWANGO</t>
  </si>
  <si>
    <t>JERRY NGANDWE</t>
  </si>
  <si>
    <t>EMMANUEL SIPULA</t>
  </si>
  <si>
    <t>KALANI FUNDA</t>
  </si>
  <si>
    <t>JOSEPH SIMUKOKO</t>
  </si>
  <si>
    <t>JACOB KUMWENDA</t>
  </si>
  <si>
    <t>EVANS MWAPE</t>
  </si>
  <si>
    <t>340477/66/1</t>
  </si>
  <si>
    <t>270123/64/1</t>
  </si>
  <si>
    <t>450629/61/1</t>
  </si>
  <si>
    <t>395969/33/1</t>
  </si>
  <si>
    <t>400101/64/1</t>
  </si>
  <si>
    <t>327607/24/1</t>
  </si>
  <si>
    <t>608268/67/1</t>
  </si>
  <si>
    <t>245561/21/1</t>
  </si>
  <si>
    <t>387463/33/1</t>
  </si>
  <si>
    <t>356376/64/1</t>
  </si>
  <si>
    <t>214391/65/1</t>
  </si>
  <si>
    <t>613337/67/1</t>
  </si>
  <si>
    <t>CHINGOLA</t>
  </si>
  <si>
    <t>WELDER</t>
  </si>
  <si>
    <t>S/O</t>
  </si>
  <si>
    <t>GRINDER MAN</t>
  </si>
  <si>
    <t>BOILERMAKER</t>
  </si>
  <si>
    <t>0231174656</t>
  </si>
  <si>
    <t>020523</t>
  </si>
  <si>
    <t>NATHAN MUMBA</t>
  </si>
  <si>
    <t>0644648110083</t>
  </si>
  <si>
    <t>010083</t>
  </si>
  <si>
    <t>6446405100136</t>
  </si>
  <si>
    <t>0978731618</t>
  </si>
  <si>
    <t>MES0078</t>
  </si>
  <si>
    <t>NANCY MWIINGA</t>
  </si>
  <si>
    <t>349993/66/1</t>
  </si>
  <si>
    <t>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</si>
</sst>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charset val="134"/>
      <scheme val="minor"/>
    </font>
    <font>
      <b/>
      <sz val="11"/>
      <color indexed="8"/>
      <name val="Aptos Narrow"/>
      <scheme val="minor"/>
    </font>
    <font>
      <b/>
      <sz val="10"/>
      <name val="Aptos Narrow"/>
      <charset val="134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0" fillId="3" borderId="0" xfId="0" applyFill="1"/>
    <xf numFmtId="0" fontId="1" fillId="2" borderId="1" xfId="0" applyFont="1" applyFill="1" applyBorder="1"/>
    <xf numFmtId="164" fontId="0" fillId="3" borderId="0" xfId="0" applyNumberFormat="1" applyFill="1"/>
    <xf numFmtId="164" fontId="0" fillId="0" borderId="0" xfId="0" applyNumberFormat="1"/>
    <xf numFmtId="0" fontId="3" fillId="3" borderId="0" xfId="0" applyFont="1" applyFill="1"/>
    <xf numFmtId="0" fontId="3" fillId="0" borderId="0" xfId="0" applyFont="1"/>
    <xf numFmtId="2" fontId="4" fillId="0" borderId="0" xfId="0" applyNumberFormat="1" applyFont="1" applyAlignment="1">
      <alignment horizontal="center" vertical="center"/>
    </xf>
    <xf numFmtId="0" fontId="1" fillId="2" borderId="0" xfId="0" applyFont="1" applyFill="1"/>
    <xf numFmtId="0" fontId="0" fillId="0" borderId="0" xfId="0" quotePrefix="1"/>
    <xf numFmtId="0" fontId="0" fillId="3" borderId="0" xfId="0" quotePrefix="1" applyFill="1"/>
    <xf numFmtId="0" fontId="5" fillId="3" borderId="0" xfId="0" applyFont="1" applyFill="1" applyAlignment="1">
      <alignment wrapText="1"/>
    </xf>
    <xf numFmtId="0" fontId="0" fillId="0" borderId="0" xfId="0" applyAlignment="1">
      <alignment horizontal="left"/>
    </xf>
    <xf numFmtId="0" fontId="3" fillId="5" borderId="0" xfId="0" applyFont="1" applyFill="1"/>
    <xf numFmtId="2" fontId="4" fillId="3" borderId="0" xfId="0" applyNumberFormat="1" applyFont="1" applyFill="1" applyAlignment="1">
      <alignment horizontal="center" vertical="center"/>
    </xf>
    <xf numFmtId="0" fontId="0" fillId="6" borderId="0" xfId="0" applyFill="1"/>
    <xf numFmtId="0" fontId="5" fillId="6" borderId="0" xfId="0" applyFont="1" applyFill="1" applyAlignment="1">
      <alignment wrapText="1"/>
    </xf>
    <xf numFmtId="43" fontId="0" fillId="0" borderId="0" xfId="0" applyNumberFormat="1"/>
    <xf numFmtId="0" fontId="0" fillId="4" borderId="0" xfId="0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I86"/>
  <sheetViews>
    <sheetView tabSelected="1" workbookViewId="0">
      <pane xSplit="3" ySplit="3" topLeftCell="D67" activePane="bottomRight" state="frozen"/>
      <selection pane="topRight" activeCell="D1" sqref="D1"/>
      <selection pane="bottomLeft" activeCell="A4" sqref="A4"/>
      <selection pane="bottomRight" activeCell="AI74" sqref="AI74"/>
    </sheetView>
  </sheetViews>
  <sheetFormatPr defaultRowHeight="14.4" x14ac:dyDescent="0.3"/>
  <cols>
    <col min="1" max="1" width="3.109375" customWidth="1"/>
    <col min="2" max="2" width="9.6640625" customWidth="1"/>
    <col min="3" max="3" width="24.109375" customWidth="1"/>
    <col min="4" max="4" width="11" bestFit="1" customWidth="1"/>
    <col min="5" max="5" width="16.109375" bestFit="1" customWidth="1"/>
    <col min="6" max="6" width="10.33203125" bestFit="1" customWidth="1"/>
    <col min="7" max="7" width="15.44140625" bestFit="1" customWidth="1"/>
    <col min="8" max="8" width="16.5546875" bestFit="1" customWidth="1"/>
    <col min="9" max="9" width="17.6640625" bestFit="1" customWidth="1"/>
    <col min="10" max="10" width="11.21875" bestFit="1" customWidth="1"/>
    <col min="11" max="11" width="9.6640625" bestFit="1" customWidth="1"/>
    <col min="12" max="12" width="22.109375" hidden="1" customWidth="1"/>
    <col min="13" max="13" width="15.6640625" bestFit="1" customWidth="1"/>
    <col min="14" max="14" width="20.5546875" customWidth="1"/>
    <col min="15" max="15" width="14.33203125" bestFit="1" customWidth="1"/>
    <col min="16" max="16" width="17.33203125" bestFit="1" customWidth="1"/>
    <col min="17" max="17" width="11.6640625" bestFit="1" customWidth="1"/>
    <col min="18" max="18" width="19" bestFit="1" customWidth="1"/>
    <col min="19" max="19" width="19.109375" bestFit="1" customWidth="1"/>
    <col min="20" max="20" width="27.44140625" bestFit="1" customWidth="1"/>
    <col min="21" max="21" width="14.5546875" bestFit="1" customWidth="1"/>
    <col min="22" max="23" width="7" bestFit="1" customWidth="1"/>
    <col min="24" max="24" width="11" bestFit="1" customWidth="1"/>
    <col min="25" max="25" width="22" bestFit="1" customWidth="1"/>
    <col min="26" max="26" width="18" bestFit="1" customWidth="1"/>
    <col min="27" max="27" width="8.5546875" bestFit="1" customWidth="1"/>
    <col min="28" max="28" width="4.21875" customWidth="1"/>
    <col min="29" max="29" width="9.44140625" customWidth="1"/>
    <col min="30" max="30" width="11.88671875" bestFit="1" customWidth="1"/>
    <col min="31" max="31" width="13.21875" bestFit="1" customWidth="1"/>
    <col min="34" max="34" width="13.88671875" customWidth="1"/>
  </cols>
  <sheetData>
    <row r="3" spans="1:34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C3" s="2" t="s">
        <v>269</v>
      </c>
      <c r="AD3" s="2" t="s">
        <v>270</v>
      </c>
      <c r="AE3" s="2" t="s">
        <v>15</v>
      </c>
      <c r="AF3" s="2" t="s">
        <v>271</v>
      </c>
      <c r="AG3" s="2" t="s">
        <v>272</v>
      </c>
      <c r="AH3" s="2" t="s">
        <v>273</v>
      </c>
    </row>
    <row r="4" spans="1:34" x14ac:dyDescent="0.3">
      <c r="A4">
        <v>1</v>
      </c>
      <c r="B4" t="s">
        <v>88</v>
      </c>
      <c r="C4" t="s">
        <v>27</v>
      </c>
      <c r="D4" t="s">
        <v>51</v>
      </c>
      <c r="E4" t="s">
        <v>75</v>
      </c>
      <c r="F4" t="s">
        <v>87</v>
      </c>
      <c r="I4" s="9" t="s">
        <v>112</v>
      </c>
      <c r="J4" s="9" t="s">
        <v>131</v>
      </c>
      <c r="K4">
        <v>13</v>
      </c>
      <c r="L4">
        <v>8</v>
      </c>
      <c r="M4" s="7">
        <f>K4*1.5</f>
        <v>19.5</v>
      </c>
      <c r="N4">
        <f>K4*2</f>
        <v>26</v>
      </c>
      <c r="O4" s="15">
        <v>27</v>
      </c>
      <c r="P4">
        <f t="shared" ref="P4:P66" si="0">K4*L4*O4</f>
        <v>2808</v>
      </c>
      <c r="Q4" s="15">
        <v>26</v>
      </c>
      <c r="R4">
        <f t="shared" ref="R4:R66" si="1">Q4*M4</f>
        <v>507</v>
      </c>
      <c r="S4" s="15">
        <v>6</v>
      </c>
      <c r="T4">
        <f t="shared" ref="T4:T66" si="2">S4*N4</f>
        <v>156</v>
      </c>
      <c r="U4">
        <f t="shared" ref="U4:U66" si="3">P4+R4+T4</f>
        <v>3471</v>
      </c>
      <c r="V4">
        <f t="shared" ref="V4:V75" si="4">U4*1%</f>
        <v>34.71</v>
      </c>
      <c r="W4">
        <f t="shared" ref="W4:W75" si="5">U4*5%</f>
        <v>173.55</v>
      </c>
      <c r="X4" s="15">
        <v>1500</v>
      </c>
      <c r="Y4">
        <f>X4*0.3+X4</f>
        <v>1950</v>
      </c>
      <c r="AA4">
        <f t="shared" ref="AA4:AA66" si="6">U4-V4-W4-Y4-Z4</f>
        <v>1312.7399999999998</v>
      </c>
      <c r="AC4" s="7">
        <v>19.5</v>
      </c>
      <c r="AD4" s="7">
        <f>AC4-2</f>
        <v>17.5</v>
      </c>
      <c r="AE4">
        <f>AC4*8*O4</f>
        <v>4212</v>
      </c>
      <c r="AF4">
        <f>AD4*1.5*Q4</f>
        <v>682.5</v>
      </c>
      <c r="AG4">
        <f>AD4*2*S4</f>
        <v>210</v>
      </c>
      <c r="AH4">
        <f>AE4+AF4+AG4</f>
        <v>5104.5</v>
      </c>
    </row>
    <row r="5" spans="1:34" x14ac:dyDescent="0.3">
      <c r="A5">
        <v>2</v>
      </c>
      <c r="B5" t="s">
        <v>89</v>
      </c>
      <c r="C5" t="s">
        <v>28</v>
      </c>
      <c r="D5" t="s">
        <v>52</v>
      </c>
      <c r="E5" t="s">
        <v>75</v>
      </c>
      <c r="F5" t="s">
        <v>87</v>
      </c>
      <c r="I5" s="9" t="s">
        <v>113</v>
      </c>
      <c r="J5" s="9" t="s">
        <v>131</v>
      </c>
      <c r="K5">
        <v>13</v>
      </c>
      <c r="L5">
        <v>8</v>
      </c>
      <c r="M5" s="7">
        <f t="shared" ref="M5:M68" si="7">K5*1.5</f>
        <v>19.5</v>
      </c>
      <c r="N5">
        <f t="shared" ref="N5:N68" si="8">K5*2</f>
        <v>26</v>
      </c>
      <c r="O5" s="15">
        <v>26</v>
      </c>
      <c r="P5">
        <f t="shared" si="0"/>
        <v>2704</v>
      </c>
      <c r="Q5" s="15">
        <v>28</v>
      </c>
      <c r="R5">
        <f t="shared" si="1"/>
        <v>546</v>
      </c>
      <c r="S5" s="15">
        <v>0</v>
      </c>
      <c r="T5">
        <f t="shared" si="2"/>
        <v>0</v>
      </c>
      <c r="U5">
        <f t="shared" si="3"/>
        <v>3250</v>
      </c>
      <c r="V5">
        <f t="shared" si="4"/>
        <v>32.5</v>
      </c>
      <c r="W5">
        <f t="shared" si="5"/>
        <v>162.5</v>
      </c>
      <c r="X5" s="15"/>
      <c r="Y5">
        <f t="shared" ref="Y5:Y67" si="9">X5*0.3+X5</f>
        <v>0</v>
      </c>
      <c r="AA5">
        <f t="shared" si="6"/>
        <v>3055</v>
      </c>
      <c r="AC5" s="7">
        <v>19.5</v>
      </c>
      <c r="AD5" s="7">
        <f t="shared" ref="AD5:AD26" si="10">AC5-2</f>
        <v>17.5</v>
      </c>
      <c r="AE5">
        <f t="shared" ref="AE5:AE67" si="11">AC5*8*O5</f>
        <v>4056</v>
      </c>
      <c r="AF5">
        <f t="shared" ref="AF5:AF67" si="12">AD5*1.5*Q5</f>
        <v>735</v>
      </c>
      <c r="AG5">
        <f t="shared" ref="AG5:AG67" si="13">AD5*2*S5</f>
        <v>0</v>
      </c>
      <c r="AH5">
        <f t="shared" ref="AH5:AH67" si="14">AE5+AF5+AG5</f>
        <v>4791</v>
      </c>
    </row>
    <row r="6" spans="1:34" x14ac:dyDescent="0.3">
      <c r="A6">
        <v>3</v>
      </c>
      <c r="B6" t="s">
        <v>90</v>
      </c>
      <c r="C6" t="s">
        <v>29</v>
      </c>
      <c r="D6" t="s">
        <v>53</v>
      </c>
      <c r="E6" t="s">
        <v>76</v>
      </c>
      <c r="F6" t="s">
        <v>87</v>
      </c>
      <c r="I6" s="9" t="s">
        <v>114</v>
      </c>
      <c r="J6" s="9" t="s">
        <v>131</v>
      </c>
      <c r="K6">
        <v>18</v>
      </c>
      <c r="L6">
        <v>8</v>
      </c>
      <c r="M6" s="7">
        <f t="shared" si="7"/>
        <v>27</v>
      </c>
      <c r="N6">
        <f t="shared" si="8"/>
        <v>36</v>
      </c>
      <c r="O6" s="15">
        <v>27</v>
      </c>
      <c r="P6">
        <f t="shared" si="0"/>
        <v>3888</v>
      </c>
      <c r="Q6" s="15">
        <v>49</v>
      </c>
      <c r="R6">
        <f t="shared" si="1"/>
        <v>1323</v>
      </c>
      <c r="S6" s="15">
        <v>8</v>
      </c>
      <c r="T6">
        <f t="shared" si="2"/>
        <v>288</v>
      </c>
      <c r="U6">
        <f t="shared" si="3"/>
        <v>5499</v>
      </c>
      <c r="V6">
        <f t="shared" si="4"/>
        <v>54.99</v>
      </c>
      <c r="W6">
        <f t="shared" si="5"/>
        <v>274.95</v>
      </c>
      <c r="X6" s="15">
        <v>2000</v>
      </c>
      <c r="Y6">
        <f t="shared" si="9"/>
        <v>2600</v>
      </c>
      <c r="AA6">
        <f t="shared" si="6"/>
        <v>2569.0600000000004</v>
      </c>
      <c r="AC6" s="7">
        <v>24</v>
      </c>
      <c r="AD6" s="7">
        <f t="shared" si="10"/>
        <v>22</v>
      </c>
      <c r="AE6">
        <f t="shared" si="11"/>
        <v>5184</v>
      </c>
      <c r="AF6">
        <f t="shared" si="12"/>
        <v>1617</v>
      </c>
      <c r="AG6">
        <f t="shared" si="13"/>
        <v>352</v>
      </c>
      <c r="AH6">
        <f t="shared" si="14"/>
        <v>7153</v>
      </c>
    </row>
    <row r="7" spans="1:34" x14ac:dyDescent="0.3">
      <c r="A7">
        <v>4</v>
      </c>
      <c r="B7" t="s">
        <v>91</v>
      </c>
      <c r="C7" t="s">
        <v>30</v>
      </c>
      <c r="D7" t="s">
        <v>54</v>
      </c>
      <c r="E7" t="s">
        <v>77</v>
      </c>
      <c r="F7" t="s">
        <v>87</v>
      </c>
      <c r="I7" s="9" t="s">
        <v>115</v>
      </c>
      <c r="J7" s="9" t="s">
        <v>131</v>
      </c>
      <c r="K7">
        <v>11</v>
      </c>
      <c r="L7">
        <v>8</v>
      </c>
      <c r="M7" s="7">
        <f t="shared" si="7"/>
        <v>16.5</v>
      </c>
      <c r="N7">
        <f t="shared" si="8"/>
        <v>22</v>
      </c>
      <c r="O7" s="15">
        <v>21</v>
      </c>
      <c r="P7">
        <f t="shared" si="0"/>
        <v>1848</v>
      </c>
      <c r="Q7" s="15">
        <v>27</v>
      </c>
      <c r="R7">
        <f t="shared" si="1"/>
        <v>445.5</v>
      </c>
      <c r="S7" s="15">
        <v>0</v>
      </c>
      <c r="T7">
        <f t="shared" si="2"/>
        <v>0</v>
      </c>
      <c r="U7">
        <f t="shared" si="3"/>
        <v>2293.5</v>
      </c>
      <c r="V7">
        <f t="shared" si="4"/>
        <v>22.934999999999999</v>
      </c>
      <c r="W7">
        <f t="shared" si="5"/>
        <v>114.67500000000001</v>
      </c>
      <c r="X7" s="15"/>
      <c r="Y7">
        <f t="shared" si="9"/>
        <v>0</v>
      </c>
      <c r="AA7">
        <f t="shared" si="6"/>
        <v>2155.89</v>
      </c>
      <c r="AC7" s="7">
        <v>16.5</v>
      </c>
      <c r="AD7" s="7">
        <f t="shared" si="10"/>
        <v>14.5</v>
      </c>
      <c r="AE7">
        <f t="shared" si="11"/>
        <v>2772</v>
      </c>
      <c r="AF7">
        <f t="shared" si="12"/>
        <v>587.25</v>
      </c>
      <c r="AG7">
        <f t="shared" si="13"/>
        <v>0</v>
      </c>
      <c r="AH7">
        <f t="shared" si="14"/>
        <v>3359.25</v>
      </c>
    </row>
    <row r="8" spans="1:34" x14ac:dyDescent="0.3">
      <c r="A8">
        <v>5</v>
      </c>
      <c r="B8" t="s">
        <v>92</v>
      </c>
      <c r="C8" t="s">
        <v>31</v>
      </c>
      <c r="D8" t="s">
        <v>55</v>
      </c>
      <c r="E8" t="s">
        <v>77</v>
      </c>
      <c r="F8" t="s">
        <v>87</v>
      </c>
      <c r="I8" s="9" t="s">
        <v>116</v>
      </c>
      <c r="J8" s="9" t="s">
        <v>131</v>
      </c>
      <c r="K8">
        <v>11</v>
      </c>
      <c r="L8">
        <v>8</v>
      </c>
      <c r="M8" s="7">
        <f t="shared" si="7"/>
        <v>16.5</v>
      </c>
      <c r="N8">
        <f t="shared" si="8"/>
        <v>22</v>
      </c>
      <c r="O8" s="15">
        <v>24</v>
      </c>
      <c r="P8">
        <f t="shared" si="0"/>
        <v>2112</v>
      </c>
      <c r="Q8" s="15">
        <v>34</v>
      </c>
      <c r="R8">
        <f t="shared" si="1"/>
        <v>561</v>
      </c>
      <c r="S8" s="15">
        <v>0</v>
      </c>
      <c r="T8">
        <f t="shared" si="2"/>
        <v>0</v>
      </c>
      <c r="U8">
        <f t="shared" si="3"/>
        <v>2673</v>
      </c>
      <c r="V8">
        <f t="shared" si="4"/>
        <v>26.73</v>
      </c>
      <c r="W8">
        <f t="shared" si="5"/>
        <v>133.65</v>
      </c>
      <c r="X8" s="15"/>
      <c r="Y8">
        <f t="shared" si="9"/>
        <v>0</v>
      </c>
      <c r="AA8">
        <f t="shared" si="6"/>
        <v>2512.62</v>
      </c>
      <c r="AC8" s="7">
        <v>16.5</v>
      </c>
      <c r="AD8" s="7">
        <f t="shared" si="10"/>
        <v>14.5</v>
      </c>
      <c r="AE8">
        <f t="shared" si="11"/>
        <v>3168</v>
      </c>
      <c r="AF8">
        <f t="shared" si="12"/>
        <v>739.5</v>
      </c>
      <c r="AG8">
        <f t="shared" si="13"/>
        <v>0</v>
      </c>
      <c r="AH8">
        <f t="shared" si="14"/>
        <v>3907.5</v>
      </c>
    </row>
    <row r="9" spans="1:34" x14ac:dyDescent="0.3">
      <c r="A9">
        <v>6</v>
      </c>
      <c r="B9" t="s">
        <v>93</v>
      </c>
      <c r="C9" t="s">
        <v>32</v>
      </c>
      <c r="D9" t="s">
        <v>56</v>
      </c>
      <c r="E9" t="s">
        <v>77</v>
      </c>
      <c r="F9" t="s">
        <v>87</v>
      </c>
      <c r="I9" s="9" t="s">
        <v>117</v>
      </c>
      <c r="J9" s="9" t="s">
        <v>132</v>
      </c>
      <c r="K9">
        <v>11</v>
      </c>
      <c r="L9">
        <v>8</v>
      </c>
      <c r="M9" s="7">
        <f t="shared" si="7"/>
        <v>16.5</v>
      </c>
      <c r="N9">
        <f t="shared" si="8"/>
        <v>22</v>
      </c>
      <c r="O9" s="15">
        <v>27</v>
      </c>
      <c r="P9">
        <f t="shared" si="0"/>
        <v>2376</v>
      </c>
      <c r="Q9" s="15">
        <v>38</v>
      </c>
      <c r="R9">
        <f t="shared" si="1"/>
        <v>627</v>
      </c>
      <c r="S9" s="15">
        <v>8</v>
      </c>
      <c r="T9">
        <f t="shared" si="2"/>
        <v>176</v>
      </c>
      <c r="U9">
        <f t="shared" si="3"/>
        <v>3179</v>
      </c>
      <c r="V9">
        <f t="shared" si="4"/>
        <v>31.79</v>
      </c>
      <c r="W9">
        <f t="shared" si="5"/>
        <v>158.95000000000002</v>
      </c>
      <c r="X9" s="15"/>
      <c r="Y9">
        <f t="shared" si="9"/>
        <v>0</v>
      </c>
      <c r="AA9">
        <f t="shared" si="6"/>
        <v>2988.26</v>
      </c>
      <c r="AC9" s="7">
        <v>16.5</v>
      </c>
      <c r="AD9" s="7">
        <f t="shared" si="10"/>
        <v>14.5</v>
      </c>
      <c r="AE9">
        <f t="shared" si="11"/>
        <v>3564</v>
      </c>
      <c r="AF9">
        <f t="shared" si="12"/>
        <v>826.5</v>
      </c>
      <c r="AG9">
        <f t="shared" si="13"/>
        <v>232</v>
      </c>
      <c r="AH9">
        <f t="shared" si="14"/>
        <v>4622.5</v>
      </c>
    </row>
    <row r="10" spans="1:34" s="1" customFormat="1" x14ac:dyDescent="0.3">
      <c r="A10" s="1">
        <v>7</v>
      </c>
      <c r="B10" s="1" t="s">
        <v>94</v>
      </c>
      <c r="C10" s="1" t="s">
        <v>33</v>
      </c>
      <c r="D10" s="1" t="s">
        <v>57</v>
      </c>
      <c r="E10" s="1" t="s">
        <v>78</v>
      </c>
      <c r="F10" s="1" t="s">
        <v>87</v>
      </c>
      <c r="I10" s="10" t="s">
        <v>118</v>
      </c>
      <c r="J10" s="10" t="s">
        <v>133</v>
      </c>
      <c r="K10" s="1">
        <v>30</v>
      </c>
      <c r="L10" s="1">
        <v>8</v>
      </c>
      <c r="M10" s="7">
        <f t="shared" si="7"/>
        <v>45</v>
      </c>
      <c r="N10">
        <f t="shared" si="8"/>
        <v>60</v>
      </c>
      <c r="O10" s="15">
        <v>24</v>
      </c>
      <c r="P10" s="1">
        <f t="shared" si="0"/>
        <v>5760</v>
      </c>
      <c r="Q10" s="15">
        <v>31</v>
      </c>
      <c r="R10" s="1">
        <f t="shared" si="1"/>
        <v>1395</v>
      </c>
      <c r="S10" s="15">
        <v>0</v>
      </c>
      <c r="T10" s="1">
        <f t="shared" si="2"/>
        <v>0</v>
      </c>
      <c r="U10" s="1">
        <f t="shared" si="3"/>
        <v>7155</v>
      </c>
      <c r="V10" s="1">
        <f t="shared" si="4"/>
        <v>71.55</v>
      </c>
      <c r="W10" s="1">
        <f t="shared" si="5"/>
        <v>357.75</v>
      </c>
      <c r="X10" s="15"/>
      <c r="Y10" s="1">
        <f t="shared" si="9"/>
        <v>0</v>
      </c>
      <c r="AA10" s="1">
        <f t="shared" si="6"/>
        <v>6725.7</v>
      </c>
      <c r="AC10" s="14">
        <v>39</v>
      </c>
      <c r="AD10" s="14">
        <f t="shared" si="10"/>
        <v>37</v>
      </c>
      <c r="AE10" s="1">
        <f t="shared" si="11"/>
        <v>7488</v>
      </c>
      <c r="AF10" s="1">
        <f t="shared" si="12"/>
        <v>1720.5</v>
      </c>
      <c r="AG10" s="1">
        <f t="shared" si="13"/>
        <v>0</v>
      </c>
      <c r="AH10" s="1">
        <f t="shared" si="14"/>
        <v>9208.5</v>
      </c>
    </row>
    <row r="11" spans="1:34" x14ac:dyDescent="0.3">
      <c r="A11">
        <v>8</v>
      </c>
      <c r="B11" t="s">
        <v>95</v>
      </c>
      <c r="C11" t="s">
        <v>34</v>
      </c>
      <c r="D11" t="s">
        <v>58</v>
      </c>
      <c r="E11" t="s">
        <v>79</v>
      </c>
      <c r="F11" t="s">
        <v>87</v>
      </c>
      <c r="I11" s="9" t="s">
        <v>119</v>
      </c>
      <c r="J11" s="9" t="s">
        <v>131</v>
      </c>
      <c r="K11">
        <v>14</v>
      </c>
      <c r="L11">
        <v>8</v>
      </c>
      <c r="M11" s="7">
        <f t="shared" si="7"/>
        <v>21</v>
      </c>
      <c r="N11">
        <f t="shared" si="8"/>
        <v>28</v>
      </c>
      <c r="O11" s="15">
        <v>27</v>
      </c>
      <c r="P11">
        <f t="shared" si="0"/>
        <v>3024</v>
      </c>
      <c r="Q11" s="15">
        <v>50</v>
      </c>
      <c r="R11">
        <f t="shared" si="1"/>
        <v>1050</v>
      </c>
      <c r="S11" s="15">
        <v>8</v>
      </c>
      <c r="T11">
        <f t="shared" si="2"/>
        <v>224</v>
      </c>
      <c r="U11">
        <f t="shared" si="3"/>
        <v>4298</v>
      </c>
      <c r="V11">
        <f t="shared" si="4"/>
        <v>42.980000000000004</v>
      </c>
      <c r="W11">
        <f t="shared" si="5"/>
        <v>214.9</v>
      </c>
      <c r="X11" s="15">
        <v>2000</v>
      </c>
      <c r="Y11">
        <f t="shared" si="9"/>
        <v>2600</v>
      </c>
      <c r="AA11">
        <f t="shared" si="6"/>
        <v>1440.1200000000003</v>
      </c>
      <c r="AC11" s="7">
        <v>22</v>
      </c>
      <c r="AD11" s="7">
        <f t="shared" si="10"/>
        <v>20</v>
      </c>
      <c r="AE11">
        <f t="shared" si="11"/>
        <v>4752</v>
      </c>
      <c r="AF11">
        <f t="shared" si="12"/>
        <v>1500</v>
      </c>
      <c r="AG11">
        <f t="shared" si="13"/>
        <v>320</v>
      </c>
      <c r="AH11">
        <f t="shared" si="14"/>
        <v>6572</v>
      </c>
    </row>
    <row r="12" spans="1:34" x14ac:dyDescent="0.3">
      <c r="A12">
        <v>9</v>
      </c>
      <c r="B12" t="s">
        <v>96</v>
      </c>
      <c r="C12" t="s">
        <v>35</v>
      </c>
      <c r="D12" t="s">
        <v>59</v>
      </c>
      <c r="E12" t="s">
        <v>77</v>
      </c>
      <c r="F12" t="s">
        <v>87</v>
      </c>
      <c r="I12" s="9" t="s">
        <v>120</v>
      </c>
      <c r="J12" s="9" t="s">
        <v>131</v>
      </c>
      <c r="K12">
        <v>11</v>
      </c>
      <c r="L12">
        <v>8</v>
      </c>
      <c r="M12" s="7">
        <f t="shared" si="7"/>
        <v>16.5</v>
      </c>
      <c r="N12">
        <f t="shared" si="8"/>
        <v>22</v>
      </c>
      <c r="O12" s="15">
        <v>25</v>
      </c>
      <c r="P12">
        <f t="shared" si="0"/>
        <v>2200</v>
      </c>
      <c r="Q12" s="15">
        <v>47</v>
      </c>
      <c r="R12">
        <f t="shared" si="1"/>
        <v>775.5</v>
      </c>
      <c r="S12" s="15">
        <v>0</v>
      </c>
      <c r="T12">
        <f t="shared" si="2"/>
        <v>0</v>
      </c>
      <c r="U12">
        <f t="shared" si="3"/>
        <v>2975.5</v>
      </c>
      <c r="V12">
        <f t="shared" si="4"/>
        <v>29.754999999999999</v>
      </c>
      <c r="W12">
        <f t="shared" si="5"/>
        <v>148.77500000000001</v>
      </c>
      <c r="X12" s="15"/>
      <c r="Y12">
        <f t="shared" si="9"/>
        <v>0</v>
      </c>
      <c r="AA12">
        <f t="shared" si="6"/>
        <v>2796.97</v>
      </c>
      <c r="AC12" s="7">
        <v>16.5</v>
      </c>
      <c r="AD12" s="7">
        <f t="shared" si="10"/>
        <v>14.5</v>
      </c>
      <c r="AE12">
        <f t="shared" si="11"/>
        <v>3300</v>
      </c>
      <c r="AF12">
        <f t="shared" si="12"/>
        <v>1022.25</v>
      </c>
      <c r="AG12">
        <f t="shared" si="13"/>
        <v>0</v>
      </c>
      <c r="AH12">
        <f t="shared" si="14"/>
        <v>4322.25</v>
      </c>
    </row>
    <row r="13" spans="1:34" x14ac:dyDescent="0.3">
      <c r="A13">
        <v>10</v>
      </c>
      <c r="B13" t="s">
        <v>97</v>
      </c>
      <c r="C13" t="s">
        <v>36</v>
      </c>
      <c r="D13" t="s">
        <v>60</v>
      </c>
      <c r="E13" t="s">
        <v>77</v>
      </c>
      <c r="F13" t="s">
        <v>87</v>
      </c>
      <c r="I13" s="9" t="s">
        <v>121</v>
      </c>
      <c r="J13" s="9" t="s">
        <v>131</v>
      </c>
      <c r="K13">
        <v>11</v>
      </c>
      <c r="L13">
        <v>8</v>
      </c>
      <c r="M13" s="7">
        <f t="shared" si="7"/>
        <v>16.5</v>
      </c>
      <c r="N13">
        <f t="shared" si="8"/>
        <v>22</v>
      </c>
      <c r="O13" s="15">
        <v>21</v>
      </c>
      <c r="P13">
        <f t="shared" si="0"/>
        <v>1848</v>
      </c>
      <c r="Q13" s="15">
        <v>26</v>
      </c>
      <c r="R13">
        <f t="shared" si="1"/>
        <v>429</v>
      </c>
      <c r="S13" s="15">
        <v>0</v>
      </c>
      <c r="T13">
        <f t="shared" si="2"/>
        <v>0</v>
      </c>
      <c r="U13">
        <f t="shared" si="3"/>
        <v>2277</v>
      </c>
      <c r="V13">
        <f t="shared" si="4"/>
        <v>22.77</v>
      </c>
      <c r="W13">
        <f t="shared" si="5"/>
        <v>113.85000000000001</v>
      </c>
      <c r="X13" s="15"/>
      <c r="Y13">
        <f t="shared" si="9"/>
        <v>0</v>
      </c>
      <c r="AA13">
        <f t="shared" si="6"/>
        <v>2140.38</v>
      </c>
      <c r="AC13" s="7">
        <v>16.5</v>
      </c>
      <c r="AD13" s="7">
        <f t="shared" si="10"/>
        <v>14.5</v>
      </c>
      <c r="AE13">
        <f t="shared" si="11"/>
        <v>2772</v>
      </c>
      <c r="AF13">
        <f t="shared" si="12"/>
        <v>565.5</v>
      </c>
      <c r="AG13">
        <f t="shared" si="13"/>
        <v>0</v>
      </c>
      <c r="AH13">
        <f t="shared" si="14"/>
        <v>3337.5</v>
      </c>
    </row>
    <row r="14" spans="1:34" x14ac:dyDescent="0.3">
      <c r="A14">
        <v>11</v>
      </c>
      <c r="B14" t="s">
        <v>98</v>
      </c>
      <c r="C14" t="s">
        <v>37</v>
      </c>
      <c r="D14" t="s">
        <v>61</v>
      </c>
      <c r="E14" t="s">
        <v>80</v>
      </c>
      <c r="F14" t="s">
        <v>87</v>
      </c>
      <c r="I14" s="9" t="s">
        <v>122</v>
      </c>
      <c r="J14" s="9" t="s">
        <v>131</v>
      </c>
      <c r="K14">
        <v>14.5</v>
      </c>
      <c r="L14">
        <v>8</v>
      </c>
      <c r="M14" s="7">
        <f t="shared" si="7"/>
        <v>21.75</v>
      </c>
      <c r="N14">
        <f t="shared" si="8"/>
        <v>29</v>
      </c>
      <c r="O14" s="15">
        <v>26</v>
      </c>
      <c r="P14">
        <f t="shared" si="0"/>
        <v>3016</v>
      </c>
      <c r="Q14" s="15">
        <v>51</v>
      </c>
      <c r="R14">
        <f t="shared" si="1"/>
        <v>1109.25</v>
      </c>
      <c r="S14" s="15">
        <v>0</v>
      </c>
      <c r="T14">
        <f t="shared" si="2"/>
        <v>0</v>
      </c>
      <c r="U14">
        <f t="shared" si="3"/>
        <v>4125.25</v>
      </c>
      <c r="V14">
        <f t="shared" si="4"/>
        <v>41.252499999999998</v>
      </c>
      <c r="W14">
        <f t="shared" si="5"/>
        <v>206.26250000000002</v>
      </c>
      <c r="X14" s="15"/>
      <c r="Y14">
        <f t="shared" si="9"/>
        <v>0</v>
      </c>
      <c r="AA14">
        <f t="shared" si="6"/>
        <v>3877.7350000000001</v>
      </c>
      <c r="AC14" s="7">
        <v>19.5</v>
      </c>
      <c r="AD14" s="7">
        <f t="shared" si="10"/>
        <v>17.5</v>
      </c>
      <c r="AE14">
        <f t="shared" si="11"/>
        <v>4056</v>
      </c>
      <c r="AF14">
        <f t="shared" si="12"/>
        <v>1338.75</v>
      </c>
      <c r="AG14">
        <f t="shared" si="13"/>
        <v>0</v>
      </c>
      <c r="AH14">
        <f t="shared" si="14"/>
        <v>5394.75</v>
      </c>
    </row>
    <row r="15" spans="1:34" x14ac:dyDescent="0.3">
      <c r="A15">
        <v>12</v>
      </c>
      <c r="B15" t="s">
        <v>99</v>
      </c>
      <c r="C15" t="s">
        <v>38</v>
      </c>
      <c r="D15" t="s">
        <v>62</v>
      </c>
      <c r="E15" t="s">
        <v>77</v>
      </c>
      <c r="F15" t="s">
        <v>87</v>
      </c>
      <c r="I15" s="9" t="s">
        <v>123</v>
      </c>
      <c r="J15" s="9" t="s">
        <v>131</v>
      </c>
      <c r="K15">
        <v>11</v>
      </c>
      <c r="L15">
        <v>8</v>
      </c>
      <c r="M15" s="7">
        <f t="shared" si="7"/>
        <v>16.5</v>
      </c>
      <c r="N15">
        <f t="shared" si="8"/>
        <v>22</v>
      </c>
      <c r="O15" s="15">
        <v>26</v>
      </c>
      <c r="P15">
        <f t="shared" si="0"/>
        <v>2288</v>
      </c>
      <c r="Q15" s="15">
        <v>19</v>
      </c>
      <c r="R15">
        <f t="shared" si="1"/>
        <v>313.5</v>
      </c>
      <c r="S15" s="15">
        <v>0</v>
      </c>
      <c r="T15">
        <f t="shared" si="2"/>
        <v>0</v>
      </c>
      <c r="U15">
        <f t="shared" si="3"/>
        <v>2601.5</v>
      </c>
      <c r="V15">
        <f t="shared" si="4"/>
        <v>26.015000000000001</v>
      </c>
      <c r="W15">
        <f t="shared" si="5"/>
        <v>130.07500000000002</v>
      </c>
      <c r="X15" s="15"/>
      <c r="Y15">
        <f t="shared" si="9"/>
        <v>0</v>
      </c>
      <c r="AA15">
        <f t="shared" si="6"/>
        <v>2445.4100000000003</v>
      </c>
      <c r="AC15" s="7">
        <v>16.5</v>
      </c>
      <c r="AD15" s="7">
        <f t="shared" si="10"/>
        <v>14.5</v>
      </c>
      <c r="AE15">
        <f t="shared" si="11"/>
        <v>3432</v>
      </c>
      <c r="AF15">
        <f t="shared" si="12"/>
        <v>413.25</v>
      </c>
      <c r="AG15">
        <f t="shared" si="13"/>
        <v>0</v>
      </c>
      <c r="AH15">
        <f t="shared" si="14"/>
        <v>3845.25</v>
      </c>
    </row>
    <row r="16" spans="1:34" x14ac:dyDescent="0.3">
      <c r="A16">
        <v>13</v>
      </c>
      <c r="B16" t="s">
        <v>100</v>
      </c>
      <c r="C16" t="s">
        <v>39</v>
      </c>
      <c r="D16" t="s">
        <v>63</v>
      </c>
      <c r="E16" t="s">
        <v>77</v>
      </c>
      <c r="F16" t="s">
        <v>87</v>
      </c>
      <c r="I16" s="9" t="s">
        <v>124</v>
      </c>
      <c r="J16" s="9" t="s">
        <v>131</v>
      </c>
      <c r="K16">
        <v>11</v>
      </c>
      <c r="L16">
        <v>8</v>
      </c>
      <c r="M16" s="7">
        <f t="shared" si="7"/>
        <v>16.5</v>
      </c>
      <c r="N16">
        <f t="shared" si="8"/>
        <v>22</v>
      </c>
      <c r="O16" s="15">
        <v>24</v>
      </c>
      <c r="P16">
        <f t="shared" si="0"/>
        <v>2112</v>
      </c>
      <c r="Q16" s="15">
        <v>33</v>
      </c>
      <c r="R16">
        <f t="shared" si="1"/>
        <v>544.5</v>
      </c>
      <c r="S16" s="15">
        <v>0</v>
      </c>
      <c r="T16">
        <f t="shared" si="2"/>
        <v>0</v>
      </c>
      <c r="U16">
        <f t="shared" si="3"/>
        <v>2656.5</v>
      </c>
      <c r="V16">
        <f t="shared" si="4"/>
        <v>26.565000000000001</v>
      </c>
      <c r="W16">
        <f t="shared" si="5"/>
        <v>132.82500000000002</v>
      </c>
      <c r="X16" s="15"/>
      <c r="Y16">
        <f t="shared" si="9"/>
        <v>0</v>
      </c>
      <c r="AA16">
        <f t="shared" si="6"/>
        <v>2497.11</v>
      </c>
      <c r="AC16" s="7">
        <v>16.5</v>
      </c>
      <c r="AD16" s="7">
        <f t="shared" si="10"/>
        <v>14.5</v>
      </c>
      <c r="AE16">
        <f t="shared" si="11"/>
        <v>3168</v>
      </c>
      <c r="AF16">
        <f t="shared" si="12"/>
        <v>717.75</v>
      </c>
      <c r="AG16">
        <f t="shared" si="13"/>
        <v>0</v>
      </c>
      <c r="AH16">
        <f t="shared" si="14"/>
        <v>3885.75</v>
      </c>
    </row>
    <row r="17" spans="1:35" x14ac:dyDescent="0.3">
      <c r="A17">
        <v>15</v>
      </c>
      <c r="B17" t="s">
        <v>101</v>
      </c>
      <c r="C17" t="s">
        <v>40</v>
      </c>
      <c r="D17" t="s">
        <v>64</v>
      </c>
      <c r="E17" t="s">
        <v>81</v>
      </c>
      <c r="F17" t="s">
        <v>87</v>
      </c>
      <c r="I17" s="9" t="s">
        <v>332</v>
      </c>
      <c r="K17">
        <v>14.5</v>
      </c>
      <c r="L17">
        <v>8</v>
      </c>
      <c r="M17" s="7">
        <f t="shared" si="7"/>
        <v>21.75</v>
      </c>
      <c r="N17">
        <f t="shared" si="8"/>
        <v>29</v>
      </c>
      <c r="O17" s="15">
        <v>27</v>
      </c>
      <c r="P17">
        <f t="shared" si="0"/>
        <v>3132</v>
      </c>
      <c r="Q17" s="15">
        <v>38</v>
      </c>
      <c r="R17">
        <f t="shared" si="1"/>
        <v>826.5</v>
      </c>
      <c r="S17" s="15">
        <v>0</v>
      </c>
      <c r="T17">
        <f t="shared" si="2"/>
        <v>0</v>
      </c>
      <c r="U17">
        <f t="shared" si="3"/>
        <v>3958.5</v>
      </c>
      <c r="V17">
        <f t="shared" si="4"/>
        <v>39.585000000000001</v>
      </c>
      <c r="W17">
        <f t="shared" si="5"/>
        <v>197.92500000000001</v>
      </c>
      <c r="X17" s="15"/>
      <c r="Y17">
        <f t="shared" si="9"/>
        <v>0</v>
      </c>
      <c r="AA17">
        <f t="shared" si="6"/>
        <v>3720.99</v>
      </c>
      <c r="AC17" s="7">
        <v>19.5</v>
      </c>
      <c r="AD17" s="7">
        <f t="shared" si="10"/>
        <v>17.5</v>
      </c>
      <c r="AE17">
        <f t="shared" si="11"/>
        <v>4212</v>
      </c>
      <c r="AF17">
        <f t="shared" si="12"/>
        <v>997.5</v>
      </c>
      <c r="AG17">
        <f t="shared" si="13"/>
        <v>0</v>
      </c>
      <c r="AH17">
        <f t="shared" si="14"/>
        <v>5209.5</v>
      </c>
    </row>
    <row r="18" spans="1:35" x14ac:dyDescent="0.3">
      <c r="A18">
        <v>16</v>
      </c>
      <c r="B18" t="s">
        <v>102</v>
      </c>
      <c r="C18" t="s">
        <v>41</v>
      </c>
      <c r="D18" t="s">
        <v>65</v>
      </c>
      <c r="E18" t="s">
        <v>77</v>
      </c>
      <c r="F18" t="s">
        <v>87</v>
      </c>
      <c r="I18" t="s">
        <v>125</v>
      </c>
      <c r="J18" s="9" t="s">
        <v>131</v>
      </c>
      <c r="K18">
        <v>11</v>
      </c>
      <c r="L18">
        <v>8</v>
      </c>
      <c r="M18" s="7">
        <f t="shared" si="7"/>
        <v>16.5</v>
      </c>
      <c r="N18">
        <f t="shared" si="8"/>
        <v>22</v>
      </c>
      <c r="O18" s="15">
        <v>23</v>
      </c>
      <c r="P18">
        <f t="shared" si="0"/>
        <v>2024</v>
      </c>
      <c r="Q18" s="15">
        <v>26</v>
      </c>
      <c r="R18">
        <f t="shared" si="1"/>
        <v>429</v>
      </c>
      <c r="S18" s="15">
        <v>0</v>
      </c>
      <c r="T18">
        <f t="shared" si="2"/>
        <v>0</v>
      </c>
      <c r="U18">
        <f t="shared" si="3"/>
        <v>2453</v>
      </c>
      <c r="V18">
        <f t="shared" si="4"/>
        <v>24.53</v>
      </c>
      <c r="W18">
        <f t="shared" si="5"/>
        <v>122.65</v>
      </c>
      <c r="X18" s="15"/>
      <c r="Y18">
        <f t="shared" si="9"/>
        <v>0</v>
      </c>
      <c r="AA18">
        <f t="shared" si="6"/>
        <v>2305.8199999999997</v>
      </c>
      <c r="AC18" s="7">
        <v>16.5</v>
      </c>
      <c r="AD18" s="7">
        <f t="shared" si="10"/>
        <v>14.5</v>
      </c>
      <c r="AE18">
        <f t="shared" si="11"/>
        <v>3036</v>
      </c>
      <c r="AF18">
        <f t="shared" si="12"/>
        <v>565.5</v>
      </c>
      <c r="AG18">
        <f t="shared" si="13"/>
        <v>0</v>
      </c>
      <c r="AH18">
        <f t="shared" si="14"/>
        <v>3601.5</v>
      </c>
    </row>
    <row r="19" spans="1:35" x14ac:dyDescent="0.3">
      <c r="A19">
        <v>17</v>
      </c>
      <c r="B19" t="s">
        <v>103</v>
      </c>
      <c r="C19" t="s">
        <v>42</v>
      </c>
      <c r="D19" t="s">
        <v>66</v>
      </c>
      <c r="E19" t="s">
        <v>82</v>
      </c>
      <c r="F19" t="s">
        <v>87</v>
      </c>
      <c r="I19" s="9" t="s">
        <v>126</v>
      </c>
      <c r="J19" s="9" t="s">
        <v>131</v>
      </c>
      <c r="K19">
        <v>14.5</v>
      </c>
      <c r="L19">
        <v>8</v>
      </c>
      <c r="M19" s="7">
        <f t="shared" si="7"/>
        <v>21.75</v>
      </c>
      <c r="N19">
        <f t="shared" si="8"/>
        <v>29</v>
      </c>
      <c r="O19" s="15">
        <v>16</v>
      </c>
      <c r="P19">
        <f t="shared" si="0"/>
        <v>1856</v>
      </c>
      <c r="Q19" s="15">
        <v>2</v>
      </c>
      <c r="R19">
        <f t="shared" si="1"/>
        <v>43.5</v>
      </c>
      <c r="S19" s="15">
        <v>0</v>
      </c>
      <c r="T19">
        <f t="shared" si="2"/>
        <v>0</v>
      </c>
      <c r="U19">
        <f t="shared" si="3"/>
        <v>1899.5</v>
      </c>
      <c r="V19">
        <f t="shared" si="4"/>
        <v>18.995000000000001</v>
      </c>
      <c r="W19">
        <f t="shared" si="5"/>
        <v>94.975000000000009</v>
      </c>
      <c r="X19" s="15"/>
      <c r="Y19">
        <f t="shared" si="9"/>
        <v>0</v>
      </c>
      <c r="AA19">
        <f t="shared" si="6"/>
        <v>1785.5300000000002</v>
      </c>
      <c r="AC19" s="7">
        <v>19.5</v>
      </c>
      <c r="AD19" s="7">
        <f t="shared" si="10"/>
        <v>17.5</v>
      </c>
      <c r="AE19">
        <f t="shared" si="11"/>
        <v>2496</v>
      </c>
      <c r="AF19">
        <f t="shared" si="12"/>
        <v>52.5</v>
      </c>
      <c r="AG19">
        <f t="shared" si="13"/>
        <v>0</v>
      </c>
      <c r="AH19">
        <f t="shared" si="14"/>
        <v>2548.5</v>
      </c>
    </row>
    <row r="20" spans="1:35" x14ac:dyDescent="0.3">
      <c r="A20">
        <v>18</v>
      </c>
      <c r="B20" t="s">
        <v>104</v>
      </c>
      <c r="C20" t="s">
        <v>43</v>
      </c>
      <c r="D20" t="s">
        <v>67</v>
      </c>
      <c r="E20" t="s">
        <v>75</v>
      </c>
      <c r="F20" t="s">
        <v>87</v>
      </c>
      <c r="I20" s="9" t="s">
        <v>127</v>
      </c>
      <c r="J20" s="9" t="s">
        <v>134</v>
      </c>
      <c r="K20">
        <v>13</v>
      </c>
      <c r="L20">
        <v>8</v>
      </c>
      <c r="M20" s="7">
        <f t="shared" si="7"/>
        <v>19.5</v>
      </c>
      <c r="N20">
        <f t="shared" si="8"/>
        <v>26</v>
      </c>
      <c r="O20" s="15">
        <v>26</v>
      </c>
      <c r="P20">
        <f>K20*L20*O20</f>
        <v>2704</v>
      </c>
      <c r="Q20" s="15">
        <v>29</v>
      </c>
      <c r="R20">
        <f>Q20*M20</f>
        <v>565.5</v>
      </c>
      <c r="S20" s="15">
        <v>6</v>
      </c>
      <c r="T20">
        <f>S20*N20</f>
        <v>156</v>
      </c>
      <c r="U20">
        <f>P20+R20+T20</f>
        <v>3425.5</v>
      </c>
      <c r="V20">
        <f>U20*1%</f>
        <v>34.255000000000003</v>
      </c>
      <c r="W20">
        <f>U20*5%</f>
        <v>171.27500000000001</v>
      </c>
      <c r="X20" s="15"/>
      <c r="Y20">
        <f t="shared" si="9"/>
        <v>0</v>
      </c>
      <c r="AA20">
        <f>U20-V20-W20-Y20-Z20</f>
        <v>3219.97</v>
      </c>
      <c r="AC20" s="7">
        <v>19.5</v>
      </c>
      <c r="AD20" s="7">
        <f t="shared" si="10"/>
        <v>17.5</v>
      </c>
      <c r="AE20">
        <f t="shared" si="11"/>
        <v>4056</v>
      </c>
      <c r="AF20">
        <f t="shared" si="12"/>
        <v>761.25</v>
      </c>
      <c r="AG20">
        <f t="shared" si="13"/>
        <v>210</v>
      </c>
      <c r="AH20">
        <f t="shared" si="14"/>
        <v>5027.25</v>
      </c>
    </row>
    <row r="21" spans="1:35" x14ac:dyDescent="0.3">
      <c r="A21">
        <v>19</v>
      </c>
      <c r="B21" t="s">
        <v>105</v>
      </c>
      <c r="C21" t="s">
        <v>44</v>
      </c>
      <c r="D21" t="s">
        <v>68</v>
      </c>
      <c r="E21" t="s">
        <v>75</v>
      </c>
      <c r="F21" t="s">
        <v>87</v>
      </c>
      <c r="I21" s="9" t="s">
        <v>128</v>
      </c>
      <c r="J21" s="9" t="s">
        <v>131</v>
      </c>
      <c r="K21">
        <v>13</v>
      </c>
      <c r="L21">
        <v>8</v>
      </c>
      <c r="M21" s="7">
        <f t="shared" si="7"/>
        <v>19.5</v>
      </c>
      <c r="N21">
        <f t="shared" si="8"/>
        <v>26</v>
      </c>
      <c r="O21" s="15">
        <v>25</v>
      </c>
      <c r="P21">
        <f t="shared" ref="P21:P27" si="15">K21*L21*O21</f>
        <v>2600</v>
      </c>
      <c r="Q21" s="15">
        <v>23</v>
      </c>
      <c r="R21">
        <f t="shared" ref="R21:R27" si="16">Q21*M21</f>
        <v>448.5</v>
      </c>
      <c r="S21" s="15">
        <v>0</v>
      </c>
      <c r="T21">
        <f t="shared" ref="T21:T27" si="17">S21*N21</f>
        <v>0</v>
      </c>
      <c r="U21">
        <f t="shared" ref="U21:U27" si="18">P21+R21+T21</f>
        <v>3048.5</v>
      </c>
      <c r="V21">
        <f t="shared" ref="V21:V27" si="19">U21*1%</f>
        <v>30.484999999999999</v>
      </c>
      <c r="W21">
        <f t="shared" ref="W21:W27" si="20">U21*5%</f>
        <v>152.42500000000001</v>
      </c>
      <c r="X21" s="15"/>
      <c r="Y21">
        <f t="shared" si="9"/>
        <v>0</v>
      </c>
      <c r="AA21">
        <f t="shared" ref="AA21:AA27" si="21">U21-V21-W21-Y21-Z21</f>
        <v>2865.5899999999997</v>
      </c>
      <c r="AC21" s="7">
        <v>19.5</v>
      </c>
      <c r="AD21" s="7">
        <f t="shared" si="10"/>
        <v>17.5</v>
      </c>
      <c r="AE21">
        <f t="shared" si="11"/>
        <v>3900</v>
      </c>
      <c r="AF21">
        <f t="shared" si="12"/>
        <v>603.75</v>
      </c>
      <c r="AG21">
        <f t="shared" si="13"/>
        <v>0</v>
      </c>
      <c r="AH21">
        <f t="shared" si="14"/>
        <v>4503.75</v>
      </c>
    </row>
    <row r="22" spans="1:35" x14ac:dyDescent="0.3">
      <c r="A22">
        <v>20</v>
      </c>
      <c r="B22" t="s">
        <v>106</v>
      </c>
      <c r="C22" t="s">
        <v>45</v>
      </c>
      <c r="D22" t="s">
        <v>69</v>
      </c>
      <c r="E22" t="s">
        <v>77</v>
      </c>
      <c r="F22" t="s">
        <v>87</v>
      </c>
      <c r="I22" s="9" t="s">
        <v>331</v>
      </c>
      <c r="J22" s="9" t="s">
        <v>330</v>
      </c>
      <c r="K22">
        <v>11</v>
      </c>
      <c r="L22">
        <v>8</v>
      </c>
      <c r="M22" s="7">
        <f t="shared" si="7"/>
        <v>16.5</v>
      </c>
      <c r="N22">
        <f t="shared" si="8"/>
        <v>22</v>
      </c>
      <c r="O22" s="15">
        <v>27</v>
      </c>
      <c r="P22">
        <f t="shared" si="15"/>
        <v>2376</v>
      </c>
      <c r="Q22" s="15">
        <v>37</v>
      </c>
      <c r="R22">
        <f t="shared" si="16"/>
        <v>610.5</v>
      </c>
      <c r="S22" s="15">
        <v>8</v>
      </c>
      <c r="T22">
        <f t="shared" si="17"/>
        <v>176</v>
      </c>
      <c r="U22">
        <f t="shared" si="18"/>
        <v>3162.5</v>
      </c>
      <c r="V22">
        <f t="shared" si="19"/>
        <v>31.625</v>
      </c>
      <c r="W22">
        <f t="shared" si="20"/>
        <v>158.125</v>
      </c>
      <c r="X22" s="15"/>
      <c r="Y22">
        <f t="shared" si="9"/>
        <v>0</v>
      </c>
      <c r="AA22">
        <f t="shared" si="21"/>
        <v>2972.75</v>
      </c>
      <c r="AC22" s="7">
        <v>16.5</v>
      </c>
      <c r="AD22" s="7">
        <f t="shared" si="10"/>
        <v>14.5</v>
      </c>
      <c r="AE22">
        <f t="shared" si="11"/>
        <v>3564</v>
      </c>
      <c r="AF22">
        <f t="shared" si="12"/>
        <v>804.75</v>
      </c>
      <c r="AG22">
        <f t="shared" si="13"/>
        <v>232</v>
      </c>
      <c r="AH22">
        <f t="shared" si="14"/>
        <v>4600.75</v>
      </c>
    </row>
    <row r="23" spans="1:35" x14ac:dyDescent="0.3">
      <c r="A23">
        <v>21</v>
      </c>
      <c r="B23" t="s">
        <v>107</v>
      </c>
      <c r="C23" t="s">
        <v>46</v>
      </c>
      <c r="D23" t="s">
        <v>70</v>
      </c>
      <c r="E23" t="s">
        <v>83</v>
      </c>
      <c r="F23" t="s">
        <v>87</v>
      </c>
      <c r="K23">
        <v>14.5</v>
      </c>
      <c r="L23">
        <v>8</v>
      </c>
      <c r="M23" s="7">
        <f t="shared" si="7"/>
        <v>21.75</v>
      </c>
      <c r="N23">
        <f t="shared" si="8"/>
        <v>29</v>
      </c>
      <c r="O23" s="15">
        <v>21</v>
      </c>
      <c r="P23">
        <f t="shared" si="15"/>
        <v>2436</v>
      </c>
      <c r="Q23" s="15">
        <v>22</v>
      </c>
      <c r="R23">
        <f t="shared" si="16"/>
        <v>478.5</v>
      </c>
      <c r="S23" s="15">
        <v>8</v>
      </c>
      <c r="T23">
        <f t="shared" si="17"/>
        <v>232</v>
      </c>
      <c r="U23">
        <f t="shared" si="18"/>
        <v>3146.5</v>
      </c>
      <c r="V23">
        <f t="shared" si="19"/>
        <v>31.465</v>
      </c>
      <c r="W23">
        <f t="shared" si="20"/>
        <v>157.32500000000002</v>
      </c>
      <c r="X23" s="15">
        <v>500</v>
      </c>
      <c r="Y23">
        <f t="shared" si="9"/>
        <v>650</v>
      </c>
      <c r="AA23">
        <f t="shared" si="21"/>
        <v>2307.71</v>
      </c>
      <c r="AC23" s="7">
        <v>19.5</v>
      </c>
      <c r="AD23" s="7">
        <f t="shared" si="10"/>
        <v>17.5</v>
      </c>
      <c r="AE23">
        <f t="shared" si="11"/>
        <v>3276</v>
      </c>
      <c r="AF23">
        <f t="shared" si="12"/>
        <v>577.5</v>
      </c>
      <c r="AG23">
        <f t="shared" si="13"/>
        <v>280</v>
      </c>
      <c r="AH23">
        <f t="shared" si="14"/>
        <v>4133.5</v>
      </c>
    </row>
    <row r="24" spans="1:35" x14ac:dyDescent="0.3">
      <c r="A24">
        <v>22</v>
      </c>
      <c r="B24" t="s">
        <v>108</v>
      </c>
      <c r="C24" t="s">
        <v>47</v>
      </c>
      <c r="D24" t="s">
        <v>71</v>
      </c>
      <c r="E24" t="s">
        <v>84</v>
      </c>
      <c r="F24" t="s">
        <v>87</v>
      </c>
      <c r="I24" s="9" t="s">
        <v>129</v>
      </c>
      <c r="J24" s="9" t="s">
        <v>133</v>
      </c>
      <c r="K24">
        <v>15</v>
      </c>
      <c r="L24">
        <v>8</v>
      </c>
      <c r="M24" s="7">
        <f t="shared" si="7"/>
        <v>22.5</v>
      </c>
      <c r="N24">
        <f t="shared" si="8"/>
        <v>30</v>
      </c>
      <c r="O24" s="15">
        <v>27</v>
      </c>
      <c r="P24">
        <f t="shared" si="15"/>
        <v>3240</v>
      </c>
      <c r="Q24" s="15">
        <v>36</v>
      </c>
      <c r="R24">
        <f t="shared" si="16"/>
        <v>810</v>
      </c>
      <c r="S24" s="15">
        <v>0</v>
      </c>
      <c r="T24">
        <f t="shared" si="17"/>
        <v>0</v>
      </c>
      <c r="U24">
        <f t="shared" si="18"/>
        <v>4050</v>
      </c>
      <c r="V24">
        <f t="shared" si="19"/>
        <v>40.5</v>
      </c>
      <c r="W24">
        <f t="shared" si="20"/>
        <v>202.5</v>
      </c>
      <c r="X24" s="15"/>
      <c r="Y24">
        <f t="shared" si="9"/>
        <v>0</v>
      </c>
      <c r="AA24">
        <f t="shared" si="21"/>
        <v>3807</v>
      </c>
      <c r="AC24" s="7">
        <v>19.5</v>
      </c>
      <c r="AD24" s="7">
        <f t="shared" si="10"/>
        <v>17.5</v>
      </c>
      <c r="AE24">
        <f t="shared" si="11"/>
        <v>4212</v>
      </c>
      <c r="AF24">
        <f t="shared" si="12"/>
        <v>945</v>
      </c>
      <c r="AG24">
        <f t="shared" si="13"/>
        <v>0</v>
      </c>
      <c r="AH24">
        <f t="shared" si="14"/>
        <v>5157</v>
      </c>
    </row>
    <row r="25" spans="1:35" x14ac:dyDescent="0.3">
      <c r="A25">
        <v>23</v>
      </c>
      <c r="B25" t="s">
        <v>109</v>
      </c>
      <c r="C25" t="s">
        <v>48</v>
      </c>
      <c r="D25" t="s">
        <v>72</v>
      </c>
      <c r="E25" t="s">
        <v>85</v>
      </c>
      <c r="F25" t="s">
        <v>87</v>
      </c>
      <c r="I25" s="9" t="s">
        <v>130</v>
      </c>
      <c r="J25" s="9" t="s">
        <v>135</v>
      </c>
      <c r="K25">
        <v>15.5</v>
      </c>
      <c r="L25">
        <v>8</v>
      </c>
      <c r="M25" s="7">
        <f t="shared" si="7"/>
        <v>23.25</v>
      </c>
      <c r="N25">
        <f t="shared" si="8"/>
        <v>31</v>
      </c>
      <c r="O25" s="15">
        <v>27</v>
      </c>
      <c r="P25">
        <f t="shared" si="15"/>
        <v>3348</v>
      </c>
      <c r="Q25" s="15">
        <v>18</v>
      </c>
      <c r="R25">
        <f t="shared" si="16"/>
        <v>418.5</v>
      </c>
      <c r="S25" s="15">
        <v>0</v>
      </c>
      <c r="T25">
        <f t="shared" si="17"/>
        <v>0</v>
      </c>
      <c r="U25">
        <f t="shared" si="18"/>
        <v>3766.5</v>
      </c>
      <c r="V25">
        <f t="shared" si="19"/>
        <v>37.664999999999999</v>
      </c>
      <c r="W25">
        <f t="shared" si="20"/>
        <v>188.32500000000002</v>
      </c>
      <c r="X25" s="15"/>
      <c r="Y25">
        <f t="shared" si="9"/>
        <v>0</v>
      </c>
      <c r="AA25">
        <f t="shared" si="21"/>
        <v>3540.51</v>
      </c>
      <c r="AC25" s="7">
        <v>22</v>
      </c>
      <c r="AD25" s="7">
        <f t="shared" si="10"/>
        <v>20</v>
      </c>
      <c r="AE25">
        <f t="shared" si="11"/>
        <v>4752</v>
      </c>
      <c r="AF25">
        <f t="shared" si="12"/>
        <v>540</v>
      </c>
      <c r="AG25">
        <f t="shared" si="13"/>
        <v>0</v>
      </c>
      <c r="AH25">
        <f t="shared" si="14"/>
        <v>5292</v>
      </c>
    </row>
    <row r="26" spans="1:35" x14ac:dyDescent="0.3">
      <c r="A26">
        <v>24</v>
      </c>
      <c r="B26" t="s">
        <v>110</v>
      </c>
      <c r="C26" t="s">
        <v>49</v>
      </c>
      <c r="D26" t="s">
        <v>73</v>
      </c>
      <c r="E26" t="s">
        <v>86</v>
      </c>
      <c r="F26" t="s">
        <v>87</v>
      </c>
      <c r="I26" s="9" t="s">
        <v>326</v>
      </c>
      <c r="J26" s="9" t="s">
        <v>327</v>
      </c>
      <c r="K26">
        <v>18</v>
      </c>
      <c r="L26">
        <v>8</v>
      </c>
      <c r="M26" s="7">
        <f t="shared" si="7"/>
        <v>27</v>
      </c>
      <c r="N26">
        <f t="shared" si="8"/>
        <v>36</v>
      </c>
      <c r="O26" s="15">
        <v>27</v>
      </c>
      <c r="P26">
        <f t="shared" si="15"/>
        <v>3888</v>
      </c>
      <c r="Q26" s="15">
        <v>39</v>
      </c>
      <c r="R26">
        <f t="shared" si="16"/>
        <v>1053</v>
      </c>
      <c r="S26" s="15">
        <v>0</v>
      </c>
      <c r="T26">
        <f t="shared" si="17"/>
        <v>0</v>
      </c>
      <c r="U26">
        <f t="shared" si="18"/>
        <v>4941</v>
      </c>
      <c r="V26">
        <f t="shared" si="19"/>
        <v>49.410000000000004</v>
      </c>
      <c r="W26">
        <f t="shared" si="20"/>
        <v>247.05</v>
      </c>
      <c r="X26" s="15"/>
      <c r="Y26">
        <f t="shared" si="9"/>
        <v>0</v>
      </c>
      <c r="AA26">
        <f t="shared" si="21"/>
        <v>4644.54</v>
      </c>
      <c r="AC26" s="7">
        <v>24</v>
      </c>
      <c r="AD26" s="7">
        <f t="shared" si="10"/>
        <v>22</v>
      </c>
      <c r="AE26">
        <f t="shared" si="11"/>
        <v>5184</v>
      </c>
      <c r="AF26">
        <f t="shared" si="12"/>
        <v>1287</v>
      </c>
      <c r="AG26">
        <f t="shared" si="13"/>
        <v>0</v>
      </c>
      <c r="AH26">
        <f t="shared" si="14"/>
        <v>6471</v>
      </c>
    </row>
    <row r="27" spans="1:35" x14ac:dyDescent="0.3">
      <c r="A27">
        <v>25</v>
      </c>
      <c r="B27" t="s">
        <v>111</v>
      </c>
      <c r="C27" t="s">
        <v>50</v>
      </c>
      <c r="D27" t="s">
        <v>74</v>
      </c>
      <c r="E27" t="s">
        <v>76</v>
      </c>
      <c r="F27" t="s">
        <v>87</v>
      </c>
      <c r="I27" s="9" t="s">
        <v>329</v>
      </c>
      <c r="J27" s="9" t="s">
        <v>330</v>
      </c>
      <c r="K27">
        <v>18</v>
      </c>
      <c r="L27">
        <v>8</v>
      </c>
      <c r="M27" s="7">
        <f t="shared" si="7"/>
        <v>27</v>
      </c>
      <c r="N27">
        <f t="shared" si="8"/>
        <v>36</v>
      </c>
      <c r="O27" s="15">
        <v>27</v>
      </c>
      <c r="P27">
        <f t="shared" si="15"/>
        <v>3888</v>
      </c>
      <c r="Q27" s="15">
        <v>35</v>
      </c>
      <c r="R27">
        <f t="shared" si="16"/>
        <v>945</v>
      </c>
      <c r="S27" s="15">
        <v>0</v>
      </c>
      <c r="T27">
        <f t="shared" si="17"/>
        <v>0</v>
      </c>
      <c r="U27">
        <f t="shared" si="18"/>
        <v>4833</v>
      </c>
      <c r="V27">
        <f t="shared" si="19"/>
        <v>48.33</v>
      </c>
      <c r="W27">
        <f t="shared" si="20"/>
        <v>241.65</v>
      </c>
      <c r="X27" s="15"/>
      <c r="Y27">
        <f t="shared" si="9"/>
        <v>0</v>
      </c>
      <c r="AA27">
        <f t="shared" si="21"/>
        <v>4543.0200000000004</v>
      </c>
      <c r="AC27" s="7">
        <v>24</v>
      </c>
      <c r="AD27" s="7">
        <f t="shared" ref="AD27" si="22">AC27-2</f>
        <v>22</v>
      </c>
      <c r="AE27">
        <f t="shared" si="11"/>
        <v>5184</v>
      </c>
      <c r="AF27">
        <f t="shared" si="12"/>
        <v>1155</v>
      </c>
      <c r="AG27">
        <f t="shared" si="13"/>
        <v>0</v>
      </c>
      <c r="AH27">
        <f t="shared" si="14"/>
        <v>6339</v>
      </c>
      <c r="AI27" s="6">
        <f>SUM(AH4:AH27)</f>
        <v>118387.5</v>
      </c>
    </row>
    <row r="28" spans="1:35" s="1" customFormat="1" x14ac:dyDescent="0.3">
      <c r="A28">
        <v>26</v>
      </c>
      <c r="B28" s="1" t="s">
        <v>136</v>
      </c>
      <c r="C28" s="1" t="s">
        <v>137</v>
      </c>
      <c r="D28" s="1" t="s">
        <v>138</v>
      </c>
      <c r="E28" s="1" t="s">
        <v>79</v>
      </c>
      <c r="F28" s="1" t="s">
        <v>87</v>
      </c>
      <c r="I28" s="10" t="s">
        <v>139</v>
      </c>
      <c r="J28" s="10" t="s">
        <v>140</v>
      </c>
      <c r="K28" s="1">
        <v>13.5</v>
      </c>
      <c r="L28" s="1">
        <v>8</v>
      </c>
      <c r="M28" s="7">
        <f t="shared" si="7"/>
        <v>20.25</v>
      </c>
      <c r="N28">
        <f t="shared" si="8"/>
        <v>27</v>
      </c>
      <c r="O28" s="15">
        <v>23</v>
      </c>
      <c r="P28" s="1">
        <f t="shared" si="0"/>
        <v>2484</v>
      </c>
      <c r="Q28" s="15">
        <v>28</v>
      </c>
      <c r="R28" s="1">
        <f t="shared" si="1"/>
        <v>567</v>
      </c>
      <c r="S28" s="15">
        <v>0</v>
      </c>
      <c r="T28" s="1">
        <f t="shared" si="2"/>
        <v>0</v>
      </c>
      <c r="U28" s="1">
        <f t="shared" si="3"/>
        <v>3051</v>
      </c>
      <c r="V28" s="1">
        <f t="shared" si="4"/>
        <v>30.51</v>
      </c>
      <c r="W28" s="1">
        <f t="shared" si="5"/>
        <v>152.55000000000001</v>
      </c>
      <c r="X28" s="15">
        <v>2500</v>
      </c>
      <c r="Y28" s="1">
        <f t="shared" si="9"/>
        <v>3250</v>
      </c>
      <c r="AA28" s="1">
        <f t="shared" si="6"/>
        <v>-382.0600000000004</v>
      </c>
      <c r="AC28" s="3">
        <v>22</v>
      </c>
      <c r="AD28" s="3">
        <v>20</v>
      </c>
      <c r="AE28">
        <f t="shared" si="11"/>
        <v>4048</v>
      </c>
      <c r="AF28">
        <f t="shared" si="12"/>
        <v>840</v>
      </c>
      <c r="AG28">
        <f t="shared" si="13"/>
        <v>0</v>
      </c>
      <c r="AH28">
        <f t="shared" si="14"/>
        <v>4888</v>
      </c>
    </row>
    <row r="29" spans="1:35" s="1" customFormat="1" x14ac:dyDescent="0.3">
      <c r="A29">
        <v>27</v>
      </c>
      <c r="B29" s="1" t="s">
        <v>141</v>
      </c>
      <c r="C29" s="1" t="s">
        <v>142</v>
      </c>
      <c r="D29" s="1" t="s">
        <v>143</v>
      </c>
      <c r="E29" s="1" t="s">
        <v>85</v>
      </c>
      <c r="F29" s="1" t="s">
        <v>87</v>
      </c>
      <c r="I29" s="10" t="s">
        <v>144</v>
      </c>
      <c r="J29" s="10" t="s">
        <v>134</v>
      </c>
      <c r="K29" s="1">
        <v>16</v>
      </c>
      <c r="L29" s="1">
        <v>8</v>
      </c>
      <c r="M29" s="7">
        <f t="shared" si="7"/>
        <v>24</v>
      </c>
      <c r="N29">
        <f t="shared" si="8"/>
        <v>32</v>
      </c>
      <c r="O29" s="15">
        <v>27</v>
      </c>
      <c r="P29" s="1">
        <f t="shared" si="0"/>
        <v>3456</v>
      </c>
      <c r="Q29" s="15">
        <v>35</v>
      </c>
      <c r="R29" s="1">
        <f t="shared" si="1"/>
        <v>840</v>
      </c>
      <c r="S29" s="15">
        <v>24</v>
      </c>
      <c r="T29" s="1">
        <f t="shared" si="2"/>
        <v>768</v>
      </c>
      <c r="U29" s="1">
        <f t="shared" si="3"/>
        <v>5064</v>
      </c>
      <c r="V29" s="1">
        <f t="shared" si="4"/>
        <v>50.64</v>
      </c>
      <c r="W29" s="1">
        <f t="shared" si="5"/>
        <v>253.20000000000002</v>
      </c>
      <c r="X29" s="15"/>
      <c r="Y29" s="1">
        <f t="shared" si="9"/>
        <v>0</v>
      </c>
      <c r="AA29" s="1">
        <f t="shared" si="6"/>
        <v>4760.16</v>
      </c>
      <c r="AC29" s="3">
        <v>22</v>
      </c>
      <c r="AD29" s="3">
        <v>20</v>
      </c>
      <c r="AE29">
        <f t="shared" si="11"/>
        <v>4752</v>
      </c>
      <c r="AF29">
        <f t="shared" si="12"/>
        <v>1050</v>
      </c>
      <c r="AG29">
        <f t="shared" si="13"/>
        <v>960</v>
      </c>
      <c r="AH29">
        <f t="shared" si="14"/>
        <v>6762</v>
      </c>
    </row>
    <row r="30" spans="1:35" s="1" customFormat="1" x14ac:dyDescent="0.3">
      <c r="A30">
        <v>28</v>
      </c>
      <c r="B30" s="1" t="s">
        <v>145</v>
      </c>
      <c r="C30" s="1" t="s">
        <v>146</v>
      </c>
      <c r="D30" s="1" t="s">
        <v>147</v>
      </c>
      <c r="E30" s="1" t="s">
        <v>85</v>
      </c>
      <c r="F30" s="1" t="s">
        <v>87</v>
      </c>
      <c r="I30" s="10" t="s">
        <v>148</v>
      </c>
      <c r="J30" s="10" t="s">
        <v>135</v>
      </c>
      <c r="K30" s="1">
        <v>15.5</v>
      </c>
      <c r="L30" s="1">
        <v>8</v>
      </c>
      <c r="M30" s="7">
        <f t="shared" si="7"/>
        <v>23.25</v>
      </c>
      <c r="N30">
        <f t="shared" si="8"/>
        <v>31</v>
      </c>
      <c r="O30" s="15">
        <v>26</v>
      </c>
      <c r="P30" s="1">
        <f t="shared" si="0"/>
        <v>3224</v>
      </c>
      <c r="Q30" s="15">
        <v>46</v>
      </c>
      <c r="R30" s="1">
        <f t="shared" si="1"/>
        <v>1069.5</v>
      </c>
      <c r="S30" s="15">
        <v>13</v>
      </c>
      <c r="T30" s="1">
        <f t="shared" si="2"/>
        <v>403</v>
      </c>
      <c r="U30" s="1">
        <f t="shared" si="3"/>
        <v>4696.5</v>
      </c>
      <c r="V30" s="1">
        <f t="shared" si="4"/>
        <v>46.965000000000003</v>
      </c>
      <c r="W30" s="1">
        <f t="shared" si="5"/>
        <v>234.82500000000002</v>
      </c>
      <c r="X30" s="15"/>
      <c r="Y30" s="1">
        <f t="shared" si="9"/>
        <v>0</v>
      </c>
      <c r="AA30" s="1">
        <f t="shared" si="6"/>
        <v>4414.71</v>
      </c>
      <c r="AC30" s="3">
        <v>22</v>
      </c>
      <c r="AD30" s="3">
        <v>20</v>
      </c>
      <c r="AE30">
        <f t="shared" si="11"/>
        <v>4576</v>
      </c>
      <c r="AF30">
        <f t="shared" si="12"/>
        <v>1380</v>
      </c>
      <c r="AG30">
        <f t="shared" si="13"/>
        <v>520</v>
      </c>
      <c r="AH30">
        <f t="shared" si="14"/>
        <v>6476</v>
      </c>
    </row>
    <row r="31" spans="1:35" s="1" customFormat="1" x14ac:dyDescent="0.3">
      <c r="A31">
        <v>29</v>
      </c>
      <c r="B31" s="1" t="s">
        <v>149</v>
      </c>
      <c r="C31" s="1" t="s">
        <v>150</v>
      </c>
      <c r="D31" s="1" t="s">
        <v>151</v>
      </c>
      <c r="E31" s="1" t="s">
        <v>85</v>
      </c>
      <c r="F31" s="1" t="s">
        <v>87</v>
      </c>
      <c r="I31" s="10" t="s">
        <v>152</v>
      </c>
      <c r="J31" s="10" t="s">
        <v>135</v>
      </c>
      <c r="K31" s="1">
        <v>16.5</v>
      </c>
      <c r="L31" s="1">
        <v>8</v>
      </c>
      <c r="M31" s="7">
        <f t="shared" si="7"/>
        <v>24.75</v>
      </c>
      <c r="N31">
        <f t="shared" si="8"/>
        <v>33</v>
      </c>
      <c r="O31" s="15">
        <v>27</v>
      </c>
      <c r="P31" s="1">
        <f t="shared" si="0"/>
        <v>3564</v>
      </c>
      <c r="Q31" s="15">
        <v>26</v>
      </c>
      <c r="R31" s="1">
        <f t="shared" si="1"/>
        <v>643.5</v>
      </c>
      <c r="S31" s="15">
        <v>0</v>
      </c>
      <c r="T31" s="1">
        <f t="shared" si="2"/>
        <v>0</v>
      </c>
      <c r="U31" s="1">
        <f t="shared" si="3"/>
        <v>4207.5</v>
      </c>
      <c r="V31" s="1">
        <f t="shared" si="4"/>
        <v>42.075000000000003</v>
      </c>
      <c r="W31" s="1">
        <f t="shared" si="5"/>
        <v>210.375</v>
      </c>
      <c r="X31" s="15"/>
      <c r="Y31" s="1">
        <f t="shared" si="9"/>
        <v>0</v>
      </c>
      <c r="AA31" s="1">
        <f t="shared" si="6"/>
        <v>3955.05</v>
      </c>
      <c r="AC31" s="3">
        <v>22</v>
      </c>
      <c r="AD31" s="3">
        <v>20</v>
      </c>
      <c r="AE31">
        <f t="shared" si="11"/>
        <v>4752</v>
      </c>
      <c r="AF31">
        <f t="shared" si="12"/>
        <v>780</v>
      </c>
      <c r="AG31">
        <f t="shared" si="13"/>
        <v>0</v>
      </c>
      <c r="AH31">
        <f t="shared" si="14"/>
        <v>5532</v>
      </c>
    </row>
    <row r="32" spans="1:35" s="1" customFormat="1" x14ac:dyDescent="0.3">
      <c r="A32">
        <v>30</v>
      </c>
      <c r="B32" s="1" t="s">
        <v>153</v>
      </c>
      <c r="C32" s="1" t="s">
        <v>154</v>
      </c>
      <c r="D32" s="1" t="s">
        <v>155</v>
      </c>
      <c r="E32" s="1" t="s">
        <v>79</v>
      </c>
      <c r="F32" s="1" t="s">
        <v>87</v>
      </c>
      <c r="I32" s="10" t="s">
        <v>156</v>
      </c>
      <c r="J32" s="10" t="s">
        <v>140</v>
      </c>
      <c r="K32" s="1">
        <v>15</v>
      </c>
      <c r="L32" s="1">
        <v>8</v>
      </c>
      <c r="M32" s="7">
        <f t="shared" si="7"/>
        <v>22.5</v>
      </c>
      <c r="N32">
        <f t="shared" si="8"/>
        <v>30</v>
      </c>
      <c r="O32" s="15">
        <v>27</v>
      </c>
      <c r="P32" s="1">
        <f t="shared" si="0"/>
        <v>3240</v>
      </c>
      <c r="Q32" s="15">
        <v>51</v>
      </c>
      <c r="R32" s="1">
        <f t="shared" si="1"/>
        <v>1147.5</v>
      </c>
      <c r="S32" s="15">
        <v>12</v>
      </c>
      <c r="T32" s="1">
        <f t="shared" si="2"/>
        <v>360</v>
      </c>
      <c r="U32" s="1">
        <f t="shared" si="3"/>
        <v>4747.5</v>
      </c>
      <c r="V32" s="1">
        <f t="shared" si="4"/>
        <v>47.475000000000001</v>
      </c>
      <c r="W32" s="1">
        <f t="shared" si="5"/>
        <v>237.375</v>
      </c>
      <c r="X32" s="15">
        <v>1000</v>
      </c>
      <c r="Y32" s="1">
        <f t="shared" si="9"/>
        <v>1300</v>
      </c>
      <c r="AA32" s="1">
        <f t="shared" si="6"/>
        <v>3162.6499999999996</v>
      </c>
      <c r="AC32" s="3">
        <v>22</v>
      </c>
      <c r="AD32" s="3">
        <v>20</v>
      </c>
      <c r="AE32">
        <f t="shared" si="11"/>
        <v>4752</v>
      </c>
      <c r="AF32">
        <f t="shared" si="12"/>
        <v>1530</v>
      </c>
      <c r="AG32">
        <f t="shared" si="13"/>
        <v>480</v>
      </c>
      <c r="AH32">
        <f t="shared" si="14"/>
        <v>6762</v>
      </c>
    </row>
    <row r="33" spans="1:35" s="1" customFormat="1" x14ac:dyDescent="0.3">
      <c r="A33">
        <v>31</v>
      </c>
      <c r="B33" s="1" t="s">
        <v>157</v>
      </c>
      <c r="C33" s="1" t="s">
        <v>158</v>
      </c>
      <c r="D33" s="1" t="s">
        <v>159</v>
      </c>
      <c r="E33" s="1" t="s">
        <v>160</v>
      </c>
      <c r="F33" s="1" t="s">
        <v>87</v>
      </c>
      <c r="I33" s="10" t="s">
        <v>161</v>
      </c>
      <c r="J33" s="10" t="s">
        <v>135</v>
      </c>
      <c r="K33" s="1">
        <v>11</v>
      </c>
      <c r="L33" s="1">
        <v>8</v>
      </c>
      <c r="M33" s="7">
        <f t="shared" si="7"/>
        <v>16.5</v>
      </c>
      <c r="N33">
        <f t="shared" si="8"/>
        <v>22</v>
      </c>
      <c r="O33" s="15">
        <v>27</v>
      </c>
      <c r="P33" s="1">
        <f t="shared" si="0"/>
        <v>2376</v>
      </c>
      <c r="Q33" s="15">
        <v>25</v>
      </c>
      <c r="R33" s="1">
        <f t="shared" si="1"/>
        <v>412.5</v>
      </c>
      <c r="S33" s="15">
        <v>12</v>
      </c>
      <c r="T33" s="1">
        <f t="shared" si="2"/>
        <v>264</v>
      </c>
      <c r="U33" s="1">
        <f t="shared" si="3"/>
        <v>3052.5</v>
      </c>
      <c r="V33" s="1">
        <f t="shared" si="4"/>
        <v>30.525000000000002</v>
      </c>
      <c r="W33" s="1">
        <f t="shared" si="5"/>
        <v>152.625</v>
      </c>
      <c r="X33" s="15">
        <v>2200</v>
      </c>
      <c r="Y33" s="1">
        <f t="shared" si="9"/>
        <v>2860</v>
      </c>
      <c r="AA33" s="1">
        <f t="shared" si="6"/>
        <v>9.3499999999999091</v>
      </c>
      <c r="AC33" s="3">
        <v>16.5</v>
      </c>
      <c r="AD33" s="3">
        <v>14.5</v>
      </c>
      <c r="AE33">
        <f t="shared" si="11"/>
        <v>3564</v>
      </c>
      <c r="AF33">
        <f t="shared" si="12"/>
        <v>543.75</v>
      </c>
      <c r="AG33">
        <f t="shared" si="13"/>
        <v>348</v>
      </c>
      <c r="AH33">
        <f t="shared" si="14"/>
        <v>4455.75</v>
      </c>
    </row>
    <row r="34" spans="1:35" s="1" customFormat="1" x14ac:dyDescent="0.3">
      <c r="A34">
        <v>32</v>
      </c>
      <c r="B34" s="1" t="s">
        <v>162</v>
      </c>
      <c r="C34" s="1" t="s">
        <v>163</v>
      </c>
      <c r="D34" s="1" t="s">
        <v>164</v>
      </c>
      <c r="E34" s="1" t="s">
        <v>165</v>
      </c>
      <c r="F34" s="1" t="s">
        <v>87</v>
      </c>
      <c r="I34" s="10" t="s">
        <v>166</v>
      </c>
      <c r="J34" s="10" t="s">
        <v>140</v>
      </c>
      <c r="K34" s="1">
        <v>12</v>
      </c>
      <c r="L34" s="1">
        <v>8</v>
      </c>
      <c r="M34" s="7">
        <f t="shared" si="7"/>
        <v>18</v>
      </c>
      <c r="N34">
        <f t="shared" si="8"/>
        <v>24</v>
      </c>
      <c r="O34" s="15">
        <v>27</v>
      </c>
      <c r="P34" s="1">
        <f t="shared" si="0"/>
        <v>2592</v>
      </c>
      <c r="Q34" s="15">
        <v>43</v>
      </c>
      <c r="R34" s="1">
        <f t="shared" si="1"/>
        <v>774</v>
      </c>
      <c r="S34" s="15">
        <v>0</v>
      </c>
      <c r="T34" s="1">
        <f t="shared" si="2"/>
        <v>0</v>
      </c>
      <c r="U34" s="1">
        <f t="shared" si="3"/>
        <v>3366</v>
      </c>
      <c r="V34" s="1">
        <f t="shared" si="4"/>
        <v>33.660000000000004</v>
      </c>
      <c r="W34" s="1">
        <f t="shared" si="5"/>
        <v>168.3</v>
      </c>
      <c r="X34" s="15">
        <v>2100</v>
      </c>
      <c r="Y34" s="1">
        <f t="shared" si="9"/>
        <v>2730</v>
      </c>
      <c r="AA34" s="1">
        <f t="shared" si="6"/>
        <v>434.03999999999996</v>
      </c>
      <c r="AC34" s="4">
        <v>19.5</v>
      </c>
      <c r="AD34" s="4">
        <v>17.5</v>
      </c>
      <c r="AE34">
        <f t="shared" si="11"/>
        <v>4212</v>
      </c>
      <c r="AF34">
        <f t="shared" si="12"/>
        <v>1128.75</v>
      </c>
      <c r="AG34">
        <f t="shared" si="13"/>
        <v>0</v>
      </c>
      <c r="AH34">
        <f t="shared" si="14"/>
        <v>5340.75</v>
      </c>
    </row>
    <row r="35" spans="1:35" s="1" customFormat="1" x14ac:dyDescent="0.3">
      <c r="A35">
        <v>33</v>
      </c>
      <c r="B35" s="1" t="s">
        <v>167</v>
      </c>
      <c r="C35" s="1" t="s">
        <v>168</v>
      </c>
      <c r="D35" s="1" t="s">
        <v>169</v>
      </c>
      <c r="E35" s="1" t="s">
        <v>85</v>
      </c>
      <c r="F35" s="1" t="s">
        <v>87</v>
      </c>
      <c r="I35" s="10" t="s">
        <v>170</v>
      </c>
      <c r="J35" s="10" t="s">
        <v>134</v>
      </c>
      <c r="K35" s="1">
        <v>14</v>
      </c>
      <c r="L35" s="1">
        <v>8</v>
      </c>
      <c r="M35" s="7">
        <f t="shared" si="7"/>
        <v>21</v>
      </c>
      <c r="N35">
        <f t="shared" si="8"/>
        <v>28</v>
      </c>
      <c r="O35" s="15">
        <v>26</v>
      </c>
      <c r="P35" s="1">
        <f t="shared" si="0"/>
        <v>2912</v>
      </c>
      <c r="Q35" s="15">
        <v>62</v>
      </c>
      <c r="R35" s="1">
        <f t="shared" si="1"/>
        <v>1302</v>
      </c>
      <c r="S35" s="15">
        <v>31</v>
      </c>
      <c r="T35" s="1">
        <f t="shared" si="2"/>
        <v>868</v>
      </c>
      <c r="U35" s="1">
        <f t="shared" si="3"/>
        <v>5082</v>
      </c>
      <c r="V35" s="1">
        <f t="shared" si="4"/>
        <v>50.82</v>
      </c>
      <c r="W35" s="1">
        <f t="shared" si="5"/>
        <v>254.10000000000002</v>
      </c>
      <c r="X35" s="15">
        <v>2300</v>
      </c>
      <c r="Y35" s="1">
        <f t="shared" si="9"/>
        <v>2990</v>
      </c>
      <c r="AA35" s="1">
        <f t="shared" si="6"/>
        <v>1787.08</v>
      </c>
      <c r="AC35" s="3">
        <v>22</v>
      </c>
      <c r="AD35" s="3">
        <v>20</v>
      </c>
      <c r="AE35">
        <f t="shared" si="11"/>
        <v>4576</v>
      </c>
      <c r="AF35">
        <f t="shared" si="12"/>
        <v>1860</v>
      </c>
      <c r="AG35">
        <f t="shared" si="13"/>
        <v>1240</v>
      </c>
      <c r="AH35">
        <f t="shared" si="14"/>
        <v>7676</v>
      </c>
    </row>
    <row r="36" spans="1:35" s="1" customFormat="1" x14ac:dyDescent="0.3">
      <c r="A36">
        <v>34</v>
      </c>
      <c r="B36" s="1" t="s">
        <v>171</v>
      </c>
      <c r="C36" s="1" t="s">
        <v>172</v>
      </c>
      <c r="D36" s="1" t="s">
        <v>173</v>
      </c>
      <c r="E36" s="1" t="s">
        <v>174</v>
      </c>
      <c r="F36" s="1" t="s">
        <v>87</v>
      </c>
      <c r="I36" s="10" t="s">
        <v>175</v>
      </c>
      <c r="J36" s="10" t="s">
        <v>135</v>
      </c>
      <c r="K36" s="1">
        <v>15.5</v>
      </c>
      <c r="L36" s="1">
        <v>8</v>
      </c>
      <c r="M36" s="7">
        <f t="shared" si="7"/>
        <v>23.25</v>
      </c>
      <c r="N36">
        <f t="shared" si="8"/>
        <v>31</v>
      </c>
      <c r="O36" s="15">
        <v>24</v>
      </c>
      <c r="P36" s="1">
        <f t="shared" si="0"/>
        <v>2976</v>
      </c>
      <c r="Q36" s="15">
        <v>34</v>
      </c>
      <c r="R36" s="1">
        <f t="shared" si="1"/>
        <v>790.5</v>
      </c>
      <c r="S36" s="15">
        <v>12</v>
      </c>
      <c r="T36" s="1">
        <f t="shared" si="2"/>
        <v>372</v>
      </c>
      <c r="U36" s="1">
        <f t="shared" si="3"/>
        <v>4138.5</v>
      </c>
      <c r="V36" s="1">
        <f t="shared" si="4"/>
        <v>41.384999999999998</v>
      </c>
      <c r="W36" s="1">
        <f t="shared" si="5"/>
        <v>206.92500000000001</v>
      </c>
      <c r="X36" s="15">
        <v>2500</v>
      </c>
      <c r="Y36" s="1">
        <f t="shared" si="9"/>
        <v>3250</v>
      </c>
      <c r="AA36" s="1">
        <f t="shared" si="6"/>
        <v>640.1899999999996</v>
      </c>
      <c r="AC36" s="3">
        <v>22</v>
      </c>
      <c r="AD36" s="3">
        <v>20</v>
      </c>
      <c r="AE36">
        <f t="shared" si="11"/>
        <v>4224</v>
      </c>
      <c r="AF36">
        <f t="shared" si="12"/>
        <v>1020</v>
      </c>
      <c r="AG36">
        <f t="shared" si="13"/>
        <v>480</v>
      </c>
      <c r="AH36">
        <f t="shared" si="14"/>
        <v>5724</v>
      </c>
    </row>
    <row r="37" spans="1:35" s="1" customFormat="1" x14ac:dyDescent="0.3">
      <c r="A37">
        <v>35</v>
      </c>
      <c r="B37" s="1" t="s">
        <v>176</v>
      </c>
      <c r="C37" s="1" t="s">
        <v>177</v>
      </c>
      <c r="D37" s="1" t="s">
        <v>178</v>
      </c>
      <c r="E37" s="1" t="s">
        <v>79</v>
      </c>
      <c r="F37" s="1" t="s">
        <v>87</v>
      </c>
      <c r="I37" s="10" t="s">
        <v>179</v>
      </c>
      <c r="J37" s="10" t="s">
        <v>132</v>
      </c>
      <c r="K37" s="1">
        <v>16</v>
      </c>
      <c r="L37" s="1">
        <v>8</v>
      </c>
      <c r="M37" s="7">
        <f t="shared" si="7"/>
        <v>24</v>
      </c>
      <c r="N37">
        <f t="shared" si="8"/>
        <v>32</v>
      </c>
      <c r="O37" s="15">
        <v>25</v>
      </c>
      <c r="P37" s="1">
        <f t="shared" si="0"/>
        <v>3200</v>
      </c>
      <c r="Q37" s="15">
        <v>22</v>
      </c>
      <c r="R37" s="1">
        <f t="shared" si="1"/>
        <v>528</v>
      </c>
      <c r="S37" s="15">
        <v>0</v>
      </c>
      <c r="T37" s="1">
        <f t="shared" si="2"/>
        <v>0</v>
      </c>
      <c r="U37" s="1">
        <f t="shared" si="3"/>
        <v>3728</v>
      </c>
      <c r="V37" s="1">
        <f t="shared" si="4"/>
        <v>37.28</v>
      </c>
      <c r="W37" s="1">
        <f t="shared" si="5"/>
        <v>186.4</v>
      </c>
      <c r="X37" s="15">
        <v>1000</v>
      </c>
      <c r="Y37" s="1">
        <f t="shared" si="9"/>
        <v>1300</v>
      </c>
      <c r="AA37" s="1">
        <f t="shared" si="6"/>
        <v>2204.3199999999997</v>
      </c>
      <c r="AC37" s="3">
        <v>22</v>
      </c>
      <c r="AD37" s="3">
        <v>20</v>
      </c>
      <c r="AE37">
        <f t="shared" si="11"/>
        <v>4400</v>
      </c>
      <c r="AF37">
        <f t="shared" si="12"/>
        <v>660</v>
      </c>
      <c r="AG37">
        <f t="shared" si="13"/>
        <v>0</v>
      </c>
      <c r="AH37">
        <f t="shared" si="14"/>
        <v>5060</v>
      </c>
    </row>
    <row r="38" spans="1:35" s="1" customFormat="1" x14ac:dyDescent="0.3">
      <c r="A38">
        <v>36</v>
      </c>
      <c r="B38" s="1" t="s">
        <v>180</v>
      </c>
      <c r="C38" s="1" t="s">
        <v>181</v>
      </c>
      <c r="D38" s="1" t="s">
        <v>182</v>
      </c>
      <c r="E38" s="1" t="s">
        <v>75</v>
      </c>
      <c r="F38" s="1" t="s">
        <v>87</v>
      </c>
      <c r="I38" s="10" t="s">
        <v>183</v>
      </c>
      <c r="J38" s="10" t="s">
        <v>131</v>
      </c>
      <c r="K38" s="1">
        <v>13.5</v>
      </c>
      <c r="L38" s="1">
        <v>8</v>
      </c>
      <c r="M38" s="7">
        <f t="shared" si="7"/>
        <v>20.25</v>
      </c>
      <c r="N38">
        <f t="shared" si="8"/>
        <v>27</v>
      </c>
      <c r="O38" s="15">
        <v>27</v>
      </c>
      <c r="P38" s="1">
        <f t="shared" si="0"/>
        <v>2916</v>
      </c>
      <c r="Q38" s="15">
        <v>78</v>
      </c>
      <c r="R38" s="1">
        <f t="shared" si="1"/>
        <v>1579.5</v>
      </c>
      <c r="S38" s="15">
        <v>33</v>
      </c>
      <c r="T38" s="1">
        <f t="shared" si="2"/>
        <v>891</v>
      </c>
      <c r="U38" s="1">
        <f t="shared" si="3"/>
        <v>5386.5</v>
      </c>
      <c r="V38" s="1">
        <f t="shared" si="4"/>
        <v>53.865000000000002</v>
      </c>
      <c r="W38" s="1">
        <f t="shared" si="5"/>
        <v>269.32499999999999</v>
      </c>
      <c r="X38" s="15">
        <v>1500</v>
      </c>
      <c r="Y38" s="1">
        <f t="shared" si="9"/>
        <v>1950</v>
      </c>
      <c r="AA38" s="1">
        <f t="shared" si="6"/>
        <v>3113.3100000000004</v>
      </c>
      <c r="AC38" s="3">
        <v>19.5</v>
      </c>
      <c r="AD38" s="3">
        <v>17.5</v>
      </c>
      <c r="AE38">
        <f t="shared" si="11"/>
        <v>4212</v>
      </c>
      <c r="AF38">
        <f t="shared" si="12"/>
        <v>2047.5</v>
      </c>
      <c r="AG38">
        <f t="shared" si="13"/>
        <v>1155</v>
      </c>
      <c r="AH38">
        <f t="shared" si="14"/>
        <v>7414.5</v>
      </c>
    </row>
    <row r="39" spans="1:35" s="1" customFormat="1" x14ac:dyDescent="0.3">
      <c r="A39">
        <v>37</v>
      </c>
      <c r="B39" s="1" t="s">
        <v>184</v>
      </c>
      <c r="C39" s="1" t="s">
        <v>185</v>
      </c>
      <c r="D39" s="1" t="s">
        <v>186</v>
      </c>
      <c r="E39" s="1" t="s">
        <v>187</v>
      </c>
      <c r="F39" s="1" t="s">
        <v>87</v>
      </c>
      <c r="I39" s="10" t="s">
        <v>188</v>
      </c>
      <c r="J39" s="10" t="s">
        <v>131</v>
      </c>
      <c r="K39" s="1">
        <v>18</v>
      </c>
      <c r="L39" s="1">
        <v>8</v>
      </c>
      <c r="M39" s="7">
        <f t="shared" si="7"/>
        <v>27</v>
      </c>
      <c r="N39">
        <f t="shared" si="8"/>
        <v>36</v>
      </c>
      <c r="O39" s="15">
        <v>27</v>
      </c>
      <c r="P39" s="1">
        <f t="shared" si="0"/>
        <v>3888</v>
      </c>
      <c r="Q39" s="15">
        <v>44</v>
      </c>
      <c r="R39" s="1">
        <f t="shared" si="1"/>
        <v>1188</v>
      </c>
      <c r="S39" s="15">
        <v>22</v>
      </c>
      <c r="T39" s="1">
        <f t="shared" si="2"/>
        <v>792</v>
      </c>
      <c r="U39" s="1">
        <f t="shared" si="3"/>
        <v>5868</v>
      </c>
      <c r="V39" s="1">
        <f t="shared" si="4"/>
        <v>58.68</v>
      </c>
      <c r="W39" s="1">
        <f t="shared" si="5"/>
        <v>293.40000000000003</v>
      </c>
      <c r="X39" s="15">
        <v>2000</v>
      </c>
      <c r="Y39" s="1">
        <f t="shared" si="9"/>
        <v>2600</v>
      </c>
      <c r="AA39" s="1">
        <f t="shared" si="6"/>
        <v>2915.92</v>
      </c>
      <c r="AC39" s="3">
        <v>24</v>
      </c>
      <c r="AD39" s="3">
        <v>22</v>
      </c>
      <c r="AE39">
        <f t="shared" si="11"/>
        <v>5184</v>
      </c>
      <c r="AF39">
        <f t="shared" si="12"/>
        <v>1452</v>
      </c>
      <c r="AG39">
        <f t="shared" si="13"/>
        <v>968</v>
      </c>
      <c r="AH39">
        <f t="shared" si="14"/>
        <v>7604</v>
      </c>
    </row>
    <row r="40" spans="1:35" s="1" customFormat="1" x14ac:dyDescent="0.3">
      <c r="A40">
        <v>38</v>
      </c>
      <c r="B40" s="1" t="s">
        <v>189</v>
      </c>
      <c r="C40" s="1" t="s">
        <v>190</v>
      </c>
      <c r="D40" s="1" t="s">
        <v>191</v>
      </c>
      <c r="E40" s="1" t="s">
        <v>76</v>
      </c>
      <c r="F40" s="1" t="s">
        <v>87</v>
      </c>
      <c r="I40" s="10" t="s">
        <v>192</v>
      </c>
      <c r="J40" s="10" t="s">
        <v>131</v>
      </c>
      <c r="K40" s="1">
        <v>18</v>
      </c>
      <c r="L40" s="1">
        <v>8</v>
      </c>
      <c r="M40" s="7">
        <f t="shared" si="7"/>
        <v>27</v>
      </c>
      <c r="N40">
        <f t="shared" si="8"/>
        <v>36</v>
      </c>
      <c r="O40" s="15">
        <v>27</v>
      </c>
      <c r="P40" s="1">
        <f t="shared" si="0"/>
        <v>3888</v>
      </c>
      <c r="Q40" s="15">
        <v>36</v>
      </c>
      <c r="R40" s="1">
        <f t="shared" si="1"/>
        <v>972</v>
      </c>
      <c r="S40" s="15">
        <v>0</v>
      </c>
      <c r="T40" s="1">
        <f t="shared" si="2"/>
        <v>0</v>
      </c>
      <c r="U40" s="1">
        <f t="shared" si="3"/>
        <v>4860</v>
      </c>
      <c r="V40" s="1">
        <f t="shared" si="4"/>
        <v>48.6</v>
      </c>
      <c r="W40" s="1">
        <f t="shared" si="5"/>
        <v>243</v>
      </c>
      <c r="X40" s="15"/>
      <c r="Y40" s="1">
        <f t="shared" si="9"/>
        <v>0</v>
      </c>
      <c r="AA40" s="1">
        <f t="shared" si="6"/>
        <v>4568.3999999999996</v>
      </c>
      <c r="AC40" s="3">
        <v>24</v>
      </c>
      <c r="AD40" s="3">
        <v>22</v>
      </c>
      <c r="AE40">
        <f t="shared" si="11"/>
        <v>5184</v>
      </c>
      <c r="AF40">
        <f t="shared" si="12"/>
        <v>1188</v>
      </c>
      <c r="AG40">
        <f t="shared" si="13"/>
        <v>0</v>
      </c>
      <c r="AH40">
        <f t="shared" si="14"/>
        <v>6372</v>
      </c>
    </row>
    <row r="41" spans="1:35" s="1" customFormat="1" x14ac:dyDescent="0.3">
      <c r="A41">
        <v>39</v>
      </c>
      <c r="B41" s="1" t="s">
        <v>193</v>
      </c>
      <c r="C41" s="1" t="s">
        <v>194</v>
      </c>
      <c r="D41" s="1" t="s">
        <v>195</v>
      </c>
      <c r="E41" s="1" t="s">
        <v>79</v>
      </c>
      <c r="F41" s="1" t="s">
        <v>87</v>
      </c>
      <c r="I41" s="10" t="s">
        <v>196</v>
      </c>
      <c r="J41" s="10" t="s">
        <v>132</v>
      </c>
      <c r="K41" s="1">
        <v>16</v>
      </c>
      <c r="L41" s="1">
        <v>8</v>
      </c>
      <c r="M41" s="7">
        <f t="shared" si="7"/>
        <v>24</v>
      </c>
      <c r="N41">
        <f t="shared" si="8"/>
        <v>32</v>
      </c>
      <c r="O41" s="15">
        <v>22</v>
      </c>
      <c r="P41" s="1">
        <f t="shared" si="0"/>
        <v>2816</v>
      </c>
      <c r="Q41" s="15">
        <v>36</v>
      </c>
      <c r="R41" s="1">
        <f t="shared" si="1"/>
        <v>864</v>
      </c>
      <c r="S41" s="15">
        <v>12</v>
      </c>
      <c r="T41" s="1">
        <f t="shared" si="2"/>
        <v>384</v>
      </c>
      <c r="U41" s="1">
        <f t="shared" si="3"/>
        <v>4064</v>
      </c>
      <c r="V41" s="1">
        <f t="shared" si="4"/>
        <v>40.64</v>
      </c>
      <c r="W41" s="1">
        <f t="shared" si="5"/>
        <v>203.20000000000002</v>
      </c>
      <c r="X41" s="15">
        <v>1000</v>
      </c>
      <c r="Y41" s="1">
        <f t="shared" si="9"/>
        <v>1300</v>
      </c>
      <c r="AA41" s="1">
        <f t="shared" si="6"/>
        <v>2520.1600000000003</v>
      </c>
      <c r="AC41" s="3">
        <v>22</v>
      </c>
      <c r="AD41" s="3">
        <v>20</v>
      </c>
      <c r="AE41">
        <f t="shared" si="11"/>
        <v>3872</v>
      </c>
      <c r="AF41">
        <f t="shared" si="12"/>
        <v>1080</v>
      </c>
      <c r="AG41">
        <f t="shared" si="13"/>
        <v>480</v>
      </c>
      <c r="AH41">
        <f t="shared" si="14"/>
        <v>5432</v>
      </c>
    </row>
    <row r="42" spans="1:35" s="1" customFormat="1" x14ac:dyDescent="0.3">
      <c r="A42">
        <v>40</v>
      </c>
      <c r="B42" s="1" t="s">
        <v>197</v>
      </c>
      <c r="C42" s="1" t="s">
        <v>198</v>
      </c>
      <c r="D42" s="1" t="s">
        <v>199</v>
      </c>
      <c r="E42" s="1" t="s">
        <v>174</v>
      </c>
      <c r="F42" s="1" t="s">
        <v>87</v>
      </c>
      <c r="I42" s="10" t="s">
        <v>200</v>
      </c>
      <c r="J42" s="10" t="s">
        <v>134</v>
      </c>
      <c r="K42" s="1">
        <v>16</v>
      </c>
      <c r="L42" s="1">
        <v>8</v>
      </c>
      <c r="M42" s="7">
        <f t="shared" si="7"/>
        <v>24</v>
      </c>
      <c r="N42">
        <f t="shared" si="8"/>
        <v>32</v>
      </c>
      <c r="O42" s="15">
        <v>25</v>
      </c>
      <c r="P42" s="1">
        <f t="shared" si="0"/>
        <v>3200</v>
      </c>
      <c r="Q42" s="15">
        <v>36</v>
      </c>
      <c r="R42" s="1">
        <f t="shared" si="1"/>
        <v>864</v>
      </c>
      <c r="S42" s="15">
        <v>0</v>
      </c>
      <c r="T42" s="1">
        <f t="shared" si="2"/>
        <v>0</v>
      </c>
      <c r="U42" s="1">
        <f t="shared" si="3"/>
        <v>4064</v>
      </c>
      <c r="V42" s="1">
        <f t="shared" si="4"/>
        <v>40.64</v>
      </c>
      <c r="W42" s="1">
        <f t="shared" si="5"/>
        <v>203.20000000000002</v>
      </c>
      <c r="X42" s="15"/>
      <c r="Y42" s="1">
        <f t="shared" si="9"/>
        <v>0</v>
      </c>
      <c r="AA42" s="1">
        <f t="shared" si="6"/>
        <v>3820.1600000000003</v>
      </c>
      <c r="AC42" s="3">
        <v>22</v>
      </c>
      <c r="AD42" s="3">
        <v>20</v>
      </c>
      <c r="AE42">
        <f t="shared" si="11"/>
        <v>4400</v>
      </c>
      <c r="AF42">
        <f t="shared" si="12"/>
        <v>1080</v>
      </c>
      <c r="AG42">
        <f t="shared" si="13"/>
        <v>0</v>
      </c>
      <c r="AH42">
        <f t="shared" si="14"/>
        <v>5480</v>
      </c>
    </row>
    <row r="43" spans="1:35" s="1" customFormat="1" x14ac:dyDescent="0.3">
      <c r="A43">
        <v>41</v>
      </c>
      <c r="B43" s="1" t="s">
        <v>201</v>
      </c>
      <c r="C43" s="1" t="s">
        <v>202</v>
      </c>
      <c r="D43" s="1" t="s">
        <v>203</v>
      </c>
      <c r="E43" s="1" t="s">
        <v>174</v>
      </c>
      <c r="F43" s="1" t="s">
        <v>87</v>
      </c>
      <c r="I43" s="10" t="s">
        <v>204</v>
      </c>
      <c r="J43" s="10" t="s">
        <v>135</v>
      </c>
      <c r="K43" s="1">
        <v>16</v>
      </c>
      <c r="L43" s="1">
        <v>8</v>
      </c>
      <c r="M43" s="7">
        <f t="shared" si="7"/>
        <v>24</v>
      </c>
      <c r="N43">
        <f t="shared" si="8"/>
        <v>32</v>
      </c>
      <c r="O43" s="15">
        <v>27</v>
      </c>
      <c r="P43" s="1">
        <f t="shared" si="0"/>
        <v>3456</v>
      </c>
      <c r="Q43" s="15">
        <v>18</v>
      </c>
      <c r="R43" s="1">
        <f t="shared" si="1"/>
        <v>432</v>
      </c>
      <c r="S43" s="15">
        <v>12</v>
      </c>
      <c r="T43" s="1">
        <f t="shared" si="2"/>
        <v>384</v>
      </c>
      <c r="U43" s="1">
        <f t="shared" si="3"/>
        <v>4272</v>
      </c>
      <c r="V43" s="1">
        <f t="shared" si="4"/>
        <v>42.72</v>
      </c>
      <c r="W43" s="1">
        <f t="shared" si="5"/>
        <v>213.60000000000002</v>
      </c>
      <c r="X43" s="15"/>
      <c r="Y43" s="1">
        <f t="shared" si="9"/>
        <v>0</v>
      </c>
      <c r="AA43" s="1">
        <f t="shared" si="6"/>
        <v>4015.68</v>
      </c>
      <c r="AC43" s="3">
        <v>24</v>
      </c>
      <c r="AD43" s="3">
        <v>22</v>
      </c>
      <c r="AE43">
        <f t="shared" si="11"/>
        <v>5184</v>
      </c>
      <c r="AF43">
        <f t="shared" si="12"/>
        <v>594</v>
      </c>
      <c r="AG43">
        <f t="shared" si="13"/>
        <v>528</v>
      </c>
      <c r="AH43">
        <f t="shared" si="14"/>
        <v>6306</v>
      </c>
    </row>
    <row r="44" spans="1:35" s="1" customFormat="1" x14ac:dyDescent="0.3">
      <c r="A44">
        <v>42</v>
      </c>
      <c r="B44" s="1" t="s">
        <v>205</v>
      </c>
      <c r="C44" s="1" t="s">
        <v>206</v>
      </c>
      <c r="D44" s="1" t="s">
        <v>207</v>
      </c>
      <c r="E44" s="1" t="s">
        <v>76</v>
      </c>
      <c r="F44" s="1" t="s">
        <v>87</v>
      </c>
      <c r="I44" s="10" t="s">
        <v>208</v>
      </c>
      <c r="J44" s="10" t="s">
        <v>135</v>
      </c>
      <c r="K44" s="1">
        <v>18</v>
      </c>
      <c r="L44" s="1">
        <v>8</v>
      </c>
      <c r="M44" s="7">
        <f t="shared" si="7"/>
        <v>27</v>
      </c>
      <c r="N44">
        <f t="shared" si="8"/>
        <v>36</v>
      </c>
      <c r="O44" s="15">
        <v>27</v>
      </c>
      <c r="P44" s="1">
        <f t="shared" si="0"/>
        <v>3888</v>
      </c>
      <c r="Q44" s="15">
        <v>33</v>
      </c>
      <c r="R44" s="1">
        <f t="shared" si="1"/>
        <v>891</v>
      </c>
      <c r="S44" s="15">
        <v>0</v>
      </c>
      <c r="T44" s="1">
        <f t="shared" si="2"/>
        <v>0</v>
      </c>
      <c r="U44" s="1">
        <f t="shared" si="3"/>
        <v>4779</v>
      </c>
      <c r="V44" s="1">
        <f t="shared" si="4"/>
        <v>47.79</v>
      </c>
      <c r="W44" s="1">
        <f t="shared" si="5"/>
        <v>238.95000000000002</v>
      </c>
      <c r="X44" s="15"/>
      <c r="Y44" s="1">
        <f t="shared" si="9"/>
        <v>0</v>
      </c>
      <c r="AA44" s="1">
        <f t="shared" si="6"/>
        <v>4492.26</v>
      </c>
      <c r="AC44" s="3">
        <v>24</v>
      </c>
      <c r="AD44" s="3">
        <v>22</v>
      </c>
      <c r="AE44">
        <f t="shared" si="11"/>
        <v>5184</v>
      </c>
      <c r="AF44">
        <f t="shared" si="12"/>
        <v>1089</v>
      </c>
      <c r="AG44">
        <f t="shared" si="13"/>
        <v>0</v>
      </c>
      <c r="AH44">
        <f t="shared" si="14"/>
        <v>6273</v>
      </c>
    </row>
    <row r="45" spans="1:35" s="1" customFormat="1" x14ac:dyDescent="0.3">
      <c r="A45">
        <v>43</v>
      </c>
      <c r="B45" s="1" t="s">
        <v>209</v>
      </c>
      <c r="C45" s="1" t="s">
        <v>210</v>
      </c>
      <c r="D45" s="1" t="s">
        <v>211</v>
      </c>
      <c r="E45" s="1" t="s">
        <v>212</v>
      </c>
      <c r="F45" s="1" t="s">
        <v>87</v>
      </c>
      <c r="I45" s="10" t="s">
        <v>213</v>
      </c>
      <c r="J45" s="10" t="s">
        <v>132</v>
      </c>
      <c r="K45" s="1">
        <v>18</v>
      </c>
      <c r="L45" s="1">
        <v>8</v>
      </c>
      <c r="M45" s="7">
        <f t="shared" si="7"/>
        <v>27</v>
      </c>
      <c r="N45">
        <f t="shared" si="8"/>
        <v>36</v>
      </c>
      <c r="O45" s="15">
        <v>27</v>
      </c>
      <c r="P45" s="1">
        <f t="shared" si="0"/>
        <v>3888</v>
      </c>
      <c r="Q45" s="15">
        <v>20</v>
      </c>
      <c r="R45" s="1">
        <f t="shared" si="1"/>
        <v>540</v>
      </c>
      <c r="S45" s="15">
        <v>0</v>
      </c>
      <c r="T45" s="1">
        <f t="shared" si="2"/>
        <v>0</v>
      </c>
      <c r="U45" s="1">
        <f t="shared" si="3"/>
        <v>4428</v>
      </c>
      <c r="V45" s="1">
        <f t="shared" si="4"/>
        <v>44.28</v>
      </c>
      <c r="W45" s="1">
        <f t="shared" si="5"/>
        <v>221.4</v>
      </c>
      <c r="X45" s="15">
        <v>1000</v>
      </c>
      <c r="Y45" s="1">
        <f t="shared" si="9"/>
        <v>1300</v>
      </c>
      <c r="AA45" s="1">
        <f t="shared" si="6"/>
        <v>2862.3200000000006</v>
      </c>
      <c r="AC45" s="3">
        <v>24</v>
      </c>
      <c r="AD45" s="3">
        <v>22</v>
      </c>
      <c r="AE45">
        <f t="shared" si="11"/>
        <v>5184</v>
      </c>
      <c r="AF45" s="17">
        <f>AD45*1.5*Q45</f>
        <v>660</v>
      </c>
      <c r="AG45">
        <f t="shared" si="13"/>
        <v>0</v>
      </c>
      <c r="AH45">
        <f t="shared" si="14"/>
        <v>5844</v>
      </c>
      <c r="AI45" s="5">
        <f>SUM(AH28:AH45)</f>
        <v>109402</v>
      </c>
    </row>
    <row r="46" spans="1:35" x14ac:dyDescent="0.3">
      <c r="A46">
        <v>44</v>
      </c>
      <c r="B46" t="s">
        <v>216</v>
      </c>
      <c r="C46" t="s">
        <v>214</v>
      </c>
      <c r="D46" t="s">
        <v>215</v>
      </c>
      <c r="E46" t="s">
        <v>217</v>
      </c>
      <c r="F46" s="1" t="s">
        <v>218</v>
      </c>
      <c r="G46" s="9" t="s">
        <v>219</v>
      </c>
      <c r="I46" s="9" t="s">
        <v>219</v>
      </c>
      <c r="K46">
        <v>18</v>
      </c>
      <c r="L46" s="1">
        <v>8</v>
      </c>
      <c r="M46" s="7">
        <f t="shared" si="7"/>
        <v>27</v>
      </c>
      <c r="N46">
        <f t="shared" si="8"/>
        <v>36</v>
      </c>
      <c r="O46" s="15">
        <v>22</v>
      </c>
      <c r="P46" s="1">
        <f t="shared" si="0"/>
        <v>3168</v>
      </c>
      <c r="Q46" s="15">
        <v>18</v>
      </c>
      <c r="R46" s="1">
        <f t="shared" si="1"/>
        <v>486</v>
      </c>
      <c r="S46" s="15">
        <v>0</v>
      </c>
      <c r="T46" s="1">
        <f t="shared" si="2"/>
        <v>0</v>
      </c>
      <c r="U46" s="1">
        <f t="shared" si="3"/>
        <v>3654</v>
      </c>
      <c r="V46" s="1">
        <f t="shared" si="4"/>
        <v>36.54</v>
      </c>
      <c r="W46" s="1">
        <f t="shared" si="5"/>
        <v>182.70000000000002</v>
      </c>
      <c r="X46" s="15">
        <v>600</v>
      </c>
      <c r="Y46" s="1">
        <f t="shared" si="9"/>
        <v>780</v>
      </c>
      <c r="AA46" s="1">
        <f t="shared" si="6"/>
        <v>2654.76</v>
      </c>
      <c r="AC46" s="7">
        <v>24</v>
      </c>
      <c r="AD46" s="7">
        <f>AC46-2</f>
        <v>22</v>
      </c>
      <c r="AE46">
        <f t="shared" si="11"/>
        <v>4224</v>
      </c>
      <c r="AF46">
        <f>AD46*1.5*Q46</f>
        <v>594</v>
      </c>
      <c r="AG46">
        <f t="shared" si="13"/>
        <v>0</v>
      </c>
      <c r="AH46">
        <f t="shared" si="14"/>
        <v>4818</v>
      </c>
    </row>
    <row r="47" spans="1:35" x14ac:dyDescent="0.3">
      <c r="A47">
        <v>45</v>
      </c>
      <c r="B47" t="s">
        <v>221</v>
      </c>
      <c r="C47" t="s">
        <v>220</v>
      </c>
      <c r="E47" t="s">
        <v>77</v>
      </c>
      <c r="F47" t="s">
        <v>218</v>
      </c>
      <c r="G47" s="9" t="s">
        <v>222</v>
      </c>
      <c r="I47" s="9" t="s">
        <v>222</v>
      </c>
      <c r="K47">
        <v>11</v>
      </c>
      <c r="L47">
        <v>8</v>
      </c>
      <c r="M47" s="7">
        <f t="shared" si="7"/>
        <v>16.5</v>
      </c>
      <c r="N47">
        <f t="shared" si="8"/>
        <v>22</v>
      </c>
      <c r="O47" s="15">
        <v>23</v>
      </c>
      <c r="P47">
        <f t="shared" si="0"/>
        <v>2024</v>
      </c>
      <c r="Q47" s="15">
        <v>28</v>
      </c>
      <c r="R47">
        <f t="shared" si="1"/>
        <v>462</v>
      </c>
      <c r="S47" s="15">
        <v>0</v>
      </c>
      <c r="T47">
        <f t="shared" si="2"/>
        <v>0</v>
      </c>
      <c r="U47">
        <f t="shared" si="3"/>
        <v>2486</v>
      </c>
      <c r="V47">
        <f t="shared" si="4"/>
        <v>24.86</v>
      </c>
      <c r="W47">
        <f t="shared" si="5"/>
        <v>124.30000000000001</v>
      </c>
      <c r="X47" s="15">
        <v>1000</v>
      </c>
      <c r="Y47">
        <f t="shared" si="9"/>
        <v>1300</v>
      </c>
      <c r="AA47">
        <f t="shared" si="6"/>
        <v>1036.8399999999997</v>
      </c>
      <c r="AC47" s="7">
        <v>16.5</v>
      </c>
      <c r="AD47" s="7">
        <f t="shared" ref="AD47:AD73" si="23">AC47-2</f>
        <v>14.5</v>
      </c>
      <c r="AE47">
        <f t="shared" si="11"/>
        <v>3036</v>
      </c>
      <c r="AF47">
        <f t="shared" si="12"/>
        <v>609</v>
      </c>
      <c r="AG47">
        <f t="shared" si="13"/>
        <v>0</v>
      </c>
      <c r="AH47">
        <f t="shared" si="14"/>
        <v>3645</v>
      </c>
    </row>
    <row r="48" spans="1:35" x14ac:dyDescent="0.3">
      <c r="A48">
        <v>46</v>
      </c>
      <c r="B48" t="s">
        <v>224</v>
      </c>
      <c r="C48" t="s">
        <v>223</v>
      </c>
      <c r="E48" t="s">
        <v>225</v>
      </c>
      <c r="F48" t="s">
        <v>218</v>
      </c>
      <c r="G48" s="9" t="s">
        <v>226</v>
      </c>
      <c r="I48" s="9" t="s">
        <v>226</v>
      </c>
      <c r="K48">
        <v>30</v>
      </c>
      <c r="L48">
        <v>8</v>
      </c>
      <c r="M48" s="7">
        <f t="shared" si="7"/>
        <v>45</v>
      </c>
      <c r="N48">
        <f t="shared" si="8"/>
        <v>60</v>
      </c>
      <c r="O48" s="15">
        <v>20</v>
      </c>
      <c r="P48">
        <f t="shared" si="0"/>
        <v>4800</v>
      </c>
      <c r="Q48" s="15">
        <v>10</v>
      </c>
      <c r="R48">
        <f t="shared" si="1"/>
        <v>450</v>
      </c>
      <c r="S48" s="15">
        <v>0</v>
      </c>
      <c r="T48">
        <f t="shared" si="2"/>
        <v>0</v>
      </c>
      <c r="U48">
        <f t="shared" si="3"/>
        <v>5250</v>
      </c>
      <c r="V48">
        <f t="shared" si="4"/>
        <v>52.5</v>
      </c>
      <c r="W48">
        <f t="shared" si="5"/>
        <v>262.5</v>
      </c>
      <c r="X48" s="15">
        <v>250</v>
      </c>
      <c r="Y48">
        <f t="shared" si="9"/>
        <v>325</v>
      </c>
      <c r="AA48">
        <f t="shared" si="6"/>
        <v>4610</v>
      </c>
      <c r="AC48" s="7">
        <v>35</v>
      </c>
      <c r="AD48" s="7">
        <f t="shared" si="23"/>
        <v>33</v>
      </c>
      <c r="AE48">
        <f t="shared" si="11"/>
        <v>5600</v>
      </c>
      <c r="AF48">
        <f t="shared" si="12"/>
        <v>495</v>
      </c>
      <c r="AG48">
        <f t="shared" si="13"/>
        <v>0</v>
      </c>
      <c r="AH48">
        <f t="shared" si="14"/>
        <v>6095</v>
      </c>
    </row>
    <row r="49" spans="1:35" x14ac:dyDescent="0.3">
      <c r="A49">
        <v>47</v>
      </c>
      <c r="B49" t="s">
        <v>228</v>
      </c>
      <c r="C49" t="s">
        <v>227</v>
      </c>
      <c r="E49" t="s">
        <v>225</v>
      </c>
      <c r="F49" t="s">
        <v>218</v>
      </c>
      <c r="G49" s="9" t="s">
        <v>229</v>
      </c>
      <c r="I49" s="9" t="s">
        <v>229</v>
      </c>
      <c r="K49">
        <v>30</v>
      </c>
      <c r="L49">
        <v>8</v>
      </c>
      <c r="M49" s="7">
        <f t="shared" si="7"/>
        <v>45</v>
      </c>
      <c r="N49">
        <f t="shared" si="8"/>
        <v>60</v>
      </c>
      <c r="O49" s="15">
        <v>23</v>
      </c>
      <c r="P49">
        <f t="shared" si="0"/>
        <v>5520</v>
      </c>
      <c r="Q49" s="15">
        <v>49</v>
      </c>
      <c r="R49">
        <f t="shared" si="1"/>
        <v>2205</v>
      </c>
      <c r="S49" s="15">
        <v>6</v>
      </c>
      <c r="T49">
        <f t="shared" si="2"/>
        <v>360</v>
      </c>
      <c r="U49">
        <f t="shared" si="3"/>
        <v>8085</v>
      </c>
      <c r="V49">
        <f t="shared" si="4"/>
        <v>80.850000000000009</v>
      </c>
      <c r="W49">
        <f t="shared" si="5"/>
        <v>404.25</v>
      </c>
      <c r="X49" s="15"/>
      <c r="Y49">
        <f t="shared" si="9"/>
        <v>0</v>
      </c>
      <c r="AA49">
        <f t="shared" si="6"/>
        <v>7599.9</v>
      </c>
      <c r="AC49" s="7">
        <v>35</v>
      </c>
      <c r="AD49" s="7">
        <f t="shared" si="23"/>
        <v>33</v>
      </c>
      <c r="AE49">
        <f t="shared" si="11"/>
        <v>6440</v>
      </c>
      <c r="AF49">
        <f t="shared" si="12"/>
        <v>2425.5</v>
      </c>
      <c r="AG49">
        <f t="shared" si="13"/>
        <v>396</v>
      </c>
      <c r="AH49">
        <f t="shared" si="14"/>
        <v>9261.5</v>
      </c>
    </row>
    <row r="50" spans="1:35" x14ac:dyDescent="0.3">
      <c r="A50">
        <v>48</v>
      </c>
      <c r="B50" t="s">
        <v>231</v>
      </c>
      <c r="C50" t="s">
        <v>230</v>
      </c>
      <c r="E50" t="s">
        <v>232</v>
      </c>
      <c r="F50" t="s">
        <v>218</v>
      </c>
      <c r="G50" s="9" t="s">
        <v>233</v>
      </c>
      <c r="I50" s="9" t="s">
        <v>233</v>
      </c>
      <c r="K50">
        <v>18</v>
      </c>
      <c r="L50">
        <v>8</v>
      </c>
      <c r="M50" s="7">
        <f t="shared" si="7"/>
        <v>27</v>
      </c>
      <c r="N50">
        <f t="shared" si="8"/>
        <v>36</v>
      </c>
      <c r="O50" s="15">
        <v>24</v>
      </c>
      <c r="P50">
        <f t="shared" si="0"/>
        <v>3456</v>
      </c>
      <c r="Q50" s="15">
        <v>81</v>
      </c>
      <c r="R50">
        <f t="shared" si="1"/>
        <v>2187</v>
      </c>
      <c r="S50" s="15">
        <v>0</v>
      </c>
      <c r="T50">
        <f t="shared" si="2"/>
        <v>0</v>
      </c>
      <c r="U50">
        <f t="shared" si="3"/>
        <v>5643</v>
      </c>
      <c r="V50">
        <f t="shared" si="4"/>
        <v>56.43</v>
      </c>
      <c r="W50">
        <f t="shared" si="5"/>
        <v>282.15000000000003</v>
      </c>
      <c r="X50" s="15"/>
      <c r="Y50">
        <f t="shared" si="9"/>
        <v>0</v>
      </c>
      <c r="AA50">
        <f t="shared" si="6"/>
        <v>5304.42</v>
      </c>
      <c r="AC50" s="7">
        <v>24</v>
      </c>
      <c r="AD50" s="7">
        <f t="shared" si="23"/>
        <v>22</v>
      </c>
      <c r="AE50">
        <f t="shared" si="11"/>
        <v>4608</v>
      </c>
      <c r="AF50">
        <f t="shared" si="12"/>
        <v>2673</v>
      </c>
      <c r="AG50">
        <f t="shared" si="13"/>
        <v>0</v>
      </c>
      <c r="AH50">
        <f t="shared" si="14"/>
        <v>7281</v>
      </c>
    </row>
    <row r="51" spans="1:35" x14ac:dyDescent="0.3">
      <c r="A51">
        <v>49</v>
      </c>
      <c r="B51" t="s">
        <v>235</v>
      </c>
      <c r="C51" t="s">
        <v>234</v>
      </c>
      <c r="E51" t="s">
        <v>75</v>
      </c>
      <c r="F51" t="s">
        <v>218</v>
      </c>
      <c r="G51" s="9" t="s">
        <v>236</v>
      </c>
      <c r="I51" s="9" t="s">
        <v>236</v>
      </c>
      <c r="K51">
        <v>13</v>
      </c>
      <c r="L51">
        <v>8</v>
      </c>
      <c r="M51" s="7">
        <f t="shared" si="7"/>
        <v>19.5</v>
      </c>
      <c r="N51">
        <f t="shared" si="8"/>
        <v>26</v>
      </c>
      <c r="O51" s="15">
        <v>26</v>
      </c>
      <c r="P51">
        <f t="shared" si="0"/>
        <v>2704</v>
      </c>
      <c r="Q51" s="15">
        <v>49</v>
      </c>
      <c r="R51">
        <f t="shared" si="1"/>
        <v>955.5</v>
      </c>
      <c r="S51" s="15">
        <v>6</v>
      </c>
      <c r="T51">
        <f t="shared" si="2"/>
        <v>156</v>
      </c>
      <c r="U51">
        <f t="shared" si="3"/>
        <v>3815.5</v>
      </c>
      <c r="V51">
        <f t="shared" si="4"/>
        <v>38.155000000000001</v>
      </c>
      <c r="W51">
        <f t="shared" si="5"/>
        <v>190.77500000000001</v>
      </c>
      <c r="X51" s="15"/>
      <c r="Y51">
        <f t="shared" si="9"/>
        <v>0</v>
      </c>
      <c r="AA51">
        <f t="shared" si="6"/>
        <v>3586.5699999999997</v>
      </c>
      <c r="AC51" s="7">
        <v>19.5</v>
      </c>
      <c r="AD51" s="7">
        <f t="shared" si="23"/>
        <v>17.5</v>
      </c>
      <c r="AE51">
        <f t="shared" si="11"/>
        <v>4056</v>
      </c>
      <c r="AF51">
        <f t="shared" si="12"/>
        <v>1286.25</v>
      </c>
      <c r="AG51">
        <f t="shared" si="13"/>
        <v>210</v>
      </c>
      <c r="AH51">
        <f t="shared" si="14"/>
        <v>5552.25</v>
      </c>
    </row>
    <row r="52" spans="1:35" x14ac:dyDescent="0.3">
      <c r="A52">
        <v>50</v>
      </c>
      <c r="B52" t="s">
        <v>238</v>
      </c>
      <c r="C52" t="s">
        <v>237</v>
      </c>
      <c r="E52" t="s">
        <v>75</v>
      </c>
      <c r="F52" t="s">
        <v>218</v>
      </c>
      <c r="G52" s="9" t="s">
        <v>239</v>
      </c>
      <c r="I52" s="9" t="s">
        <v>239</v>
      </c>
      <c r="K52">
        <v>13</v>
      </c>
      <c r="L52">
        <v>8</v>
      </c>
      <c r="M52" s="7">
        <f t="shared" si="7"/>
        <v>19.5</v>
      </c>
      <c r="N52">
        <f t="shared" si="8"/>
        <v>26</v>
      </c>
      <c r="O52" s="15">
        <v>26</v>
      </c>
      <c r="P52">
        <f t="shared" si="0"/>
        <v>2704</v>
      </c>
      <c r="Q52" s="15">
        <v>56</v>
      </c>
      <c r="R52">
        <f t="shared" si="1"/>
        <v>1092</v>
      </c>
      <c r="S52" s="15">
        <v>6</v>
      </c>
      <c r="T52">
        <f t="shared" si="2"/>
        <v>156</v>
      </c>
      <c r="U52">
        <f t="shared" si="3"/>
        <v>3952</v>
      </c>
      <c r="V52">
        <f t="shared" si="4"/>
        <v>39.520000000000003</v>
      </c>
      <c r="W52">
        <f t="shared" si="5"/>
        <v>197.60000000000002</v>
      </c>
      <c r="X52" s="15"/>
      <c r="Y52">
        <f t="shared" si="9"/>
        <v>0</v>
      </c>
      <c r="AA52">
        <f t="shared" si="6"/>
        <v>3714.88</v>
      </c>
      <c r="AC52" s="7">
        <v>19.5</v>
      </c>
      <c r="AD52" s="7">
        <f t="shared" si="23"/>
        <v>17.5</v>
      </c>
      <c r="AE52">
        <f t="shared" si="11"/>
        <v>4056</v>
      </c>
      <c r="AF52">
        <f t="shared" si="12"/>
        <v>1470</v>
      </c>
      <c r="AG52">
        <f t="shared" si="13"/>
        <v>210</v>
      </c>
      <c r="AH52">
        <f t="shared" si="14"/>
        <v>5736</v>
      </c>
    </row>
    <row r="53" spans="1:35" x14ac:dyDescent="0.3">
      <c r="A53">
        <v>51</v>
      </c>
      <c r="B53" t="s">
        <v>241</v>
      </c>
      <c r="C53" t="s">
        <v>240</v>
      </c>
      <c r="E53" t="s">
        <v>77</v>
      </c>
      <c r="F53" t="s">
        <v>218</v>
      </c>
      <c r="G53" s="9" t="s">
        <v>242</v>
      </c>
      <c r="I53" s="9" t="s">
        <v>242</v>
      </c>
      <c r="K53">
        <v>11</v>
      </c>
      <c r="L53">
        <v>8</v>
      </c>
      <c r="M53" s="7">
        <f t="shared" si="7"/>
        <v>16.5</v>
      </c>
      <c r="N53">
        <f t="shared" si="8"/>
        <v>22</v>
      </c>
      <c r="O53" s="15">
        <v>25</v>
      </c>
      <c r="P53">
        <f t="shared" si="0"/>
        <v>2200</v>
      </c>
      <c r="Q53" s="15">
        <v>57</v>
      </c>
      <c r="R53">
        <f t="shared" si="1"/>
        <v>940.5</v>
      </c>
      <c r="S53" s="15">
        <v>12</v>
      </c>
      <c r="T53">
        <f t="shared" si="2"/>
        <v>264</v>
      </c>
      <c r="U53">
        <f t="shared" si="3"/>
        <v>3404.5</v>
      </c>
      <c r="V53">
        <f t="shared" si="4"/>
        <v>34.045000000000002</v>
      </c>
      <c r="W53">
        <f t="shared" si="5"/>
        <v>170.22500000000002</v>
      </c>
      <c r="X53" s="15"/>
      <c r="Y53">
        <f t="shared" si="9"/>
        <v>0</v>
      </c>
      <c r="AA53">
        <f t="shared" si="6"/>
        <v>3200.23</v>
      </c>
      <c r="AC53" s="7">
        <v>16.5</v>
      </c>
      <c r="AD53" s="7">
        <f t="shared" si="23"/>
        <v>14.5</v>
      </c>
      <c r="AE53">
        <f t="shared" si="11"/>
        <v>3300</v>
      </c>
      <c r="AF53">
        <f t="shared" si="12"/>
        <v>1239.75</v>
      </c>
      <c r="AG53">
        <f t="shared" si="13"/>
        <v>348</v>
      </c>
      <c r="AH53">
        <f t="shared" si="14"/>
        <v>4887.75</v>
      </c>
    </row>
    <row r="54" spans="1:35" x14ac:dyDescent="0.3">
      <c r="A54">
        <v>52</v>
      </c>
      <c r="B54" t="s">
        <v>244</v>
      </c>
      <c r="C54" t="s">
        <v>243</v>
      </c>
      <c r="E54" t="s">
        <v>245</v>
      </c>
      <c r="F54" t="s">
        <v>218</v>
      </c>
      <c r="G54" s="9" t="s">
        <v>246</v>
      </c>
      <c r="I54" s="9" t="s">
        <v>246</v>
      </c>
      <c r="K54">
        <v>13</v>
      </c>
      <c r="L54">
        <v>8</v>
      </c>
      <c r="M54" s="7">
        <f t="shared" si="7"/>
        <v>19.5</v>
      </c>
      <c r="N54">
        <f t="shared" si="8"/>
        <v>26</v>
      </c>
      <c r="O54" s="15">
        <v>26</v>
      </c>
      <c r="P54">
        <f t="shared" si="0"/>
        <v>2704</v>
      </c>
      <c r="Q54" s="15">
        <v>72</v>
      </c>
      <c r="R54">
        <f t="shared" si="1"/>
        <v>1404</v>
      </c>
      <c r="S54" s="15">
        <v>21</v>
      </c>
      <c r="T54">
        <f t="shared" si="2"/>
        <v>546</v>
      </c>
      <c r="U54">
        <f t="shared" si="3"/>
        <v>4654</v>
      </c>
      <c r="V54">
        <f t="shared" si="4"/>
        <v>46.54</v>
      </c>
      <c r="W54">
        <f t="shared" si="5"/>
        <v>232.70000000000002</v>
      </c>
      <c r="X54" s="15"/>
      <c r="Y54">
        <f t="shared" si="9"/>
        <v>0</v>
      </c>
      <c r="AA54">
        <f t="shared" si="6"/>
        <v>4374.76</v>
      </c>
      <c r="AC54" s="7">
        <v>19.5</v>
      </c>
      <c r="AD54" s="7">
        <f t="shared" si="23"/>
        <v>17.5</v>
      </c>
      <c r="AE54">
        <f t="shared" si="11"/>
        <v>4056</v>
      </c>
      <c r="AF54">
        <f t="shared" si="12"/>
        <v>1890</v>
      </c>
      <c r="AG54">
        <f t="shared" si="13"/>
        <v>735</v>
      </c>
      <c r="AH54">
        <f t="shared" si="14"/>
        <v>6681</v>
      </c>
    </row>
    <row r="55" spans="1:35" x14ac:dyDescent="0.3">
      <c r="A55">
        <v>53</v>
      </c>
      <c r="B55" t="s">
        <v>248</v>
      </c>
      <c r="C55" t="s">
        <v>247</v>
      </c>
      <c r="E55" t="s">
        <v>249</v>
      </c>
      <c r="F55" t="s">
        <v>218</v>
      </c>
      <c r="G55" s="9" t="s">
        <v>250</v>
      </c>
      <c r="I55" s="9" t="s">
        <v>250</v>
      </c>
      <c r="K55">
        <v>11</v>
      </c>
      <c r="L55">
        <v>8</v>
      </c>
      <c r="M55" s="7">
        <f t="shared" si="7"/>
        <v>16.5</v>
      </c>
      <c r="N55">
        <f t="shared" si="8"/>
        <v>22</v>
      </c>
      <c r="O55" s="15">
        <v>24</v>
      </c>
      <c r="P55">
        <f t="shared" si="0"/>
        <v>2112</v>
      </c>
      <c r="Q55" s="15">
        <v>20</v>
      </c>
      <c r="R55">
        <f t="shared" si="1"/>
        <v>330</v>
      </c>
      <c r="S55" s="15">
        <v>0</v>
      </c>
      <c r="T55">
        <f t="shared" si="2"/>
        <v>0</v>
      </c>
      <c r="U55">
        <f t="shared" si="3"/>
        <v>2442</v>
      </c>
      <c r="V55">
        <f t="shared" si="4"/>
        <v>24.42</v>
      </c>
      <c r="W55">
        <f t="shared" si="5"/>
        <v>122.10000000000001</v>
      </c>
      <c r="X55" s="15"/>
      <c r="Y55">
        <f t="shared" si="9"/>
        <v>0</v>
      </c>
      <c r="AA55">
        <f t="shared" si="6"/>
        <v>2295.48</v>
      </c>
      <c r="AC55" s="7">
        <v>16.5</v>
      </c>
      <c r="AD55" s="7">
        <f t="shared" si="23"/>
        <v>14.5</v>
      </c>
      <c r="AE55">
        <f t="shared" si="11"/>
        <v>3168</v>
      </c>
      <c r="AF55">
        <f t="shared" si="12"/>
        <v>435</v>
      </c>
      <c r="AG55">
        <f t="shared" si="13"/>
        <v>0</v>
      </c>
      <c r="AH55">
        <f t="shared" si="14"/>
        <v>3603</v>
      </c>
    </row>
    <row r="56" spans="1:35" x14ac:dyDescent="0.3">
      <c r="A56">
        <v>54</v>
      </c>
      <c r="B56" t="s">
        <v>252</v>
      </c>
      <c r="C56" t="s">
        <v>251</v>
      </c>
      <c r="E56" t="s">
        <v>249</v>
      </c>
      <c r="F56" t="s">
        <v>218</v>
      </c>
      <c r="G56" s="9" t="s">
        <v>253</v>
      </c>
      <c r="I56" s="9" t="s">
        <v>253</v>
      </c>
      <c r="K56">
        <v>11</v>
      </c>
      <c r="L56">
        <v>8</v>
      </c>
      <c r="M56" s="7">
        <f t="shared" si="7"/>
        <v>16.5</v>
      </c>
      <c r="N56">
        <f t="shared" si="8"/>
        <v>22</v>
      </c>
      <c r="O56" s="15">
        <v>26</v>
      </c>
      <c r="P56">
        <f t="shared" si="0"/>
        <v>2288</v>
      </c>
      <c r="Q56" s="15">
        <v>51</v>
      </c>
      <c r="R56">
        <f t="shared" si="1"/>
        <v>841.5</v>
      </c>
      <c r="S56" s="15">
        <v>12</v>
      </c>
      <c r="T56">
        <f t="shared" si="2"/>
        <v>264</v>
      </c>
      <c r="U56">
        <f t="shared" si="3"/>
        <v>3393.5</v>
      </c>
      <c r="V56">
        <f t="shared" si="4"/>
        <v>33.935000000000002</v>
      </c>
      <c r="W56">
        <f t="shared" si="5"/>
        <v>169.67500000000001</v>
      </c>
      <c r="X56" s="15"/>
      <c r="Y56">
        <f t="shared" si="9"/>
        <v>0</v>
      </c>
      <c r="AA56">
        <f t="shared" si="6"/>
        <v>3189.89</v>
      </c>
      <c r="AC56" s="7">
        <v>16.5</v>
      </c>
      <c r="AD56" s="7">
        <f t="shared" si="23"/>
        <v>14.5</v>
      </c>
      <c r="AE56">
        <f t="shared" si="11"/>
        <v>3432</v>
      </c>
      <c r="AF56">
        <f t="shared" si="12"/>
        <v>1109.25</v>
      </c>
      <c r="AG56">
        <f t="shared" si="13"/>
        <v>348</v>
      </c>
      <c r="AH56">
        <f t="shared" si="14"/>
        <v>4889.25</v>
      </c>
    </row>
    <row r="57" spans="1:35" x14ac:dyDescent="0.3">
      <c r="A57">
        <v>55</v>
      </c>
      <c r="B57" t="s">
        <v>255</v>
      </c>
      <c r="C57" t="s">
        <v>254</v>
      </c>
      <c r="E57" t="s">
        <v>249</v>
      </c>
      <c r="F57" t="s">
        <v>218</v>
      </c>
      <c r="G57" s="9" t="s">
        <v>256</v>
      </c>
      <c r="I57" s="9" t="s">
        <v>256</v>
      </c>
      <c r="K57">
        <v>11</v>
      </c>
      <c r="L57">
        <v>8</v>
      </c>
      <c r="M57" s="7">
        <f t="shared" si="7"/>
        <v>16.5</v>
      </c>
      <c r="N57">
        <f t="shared" si="8"/>
        <v>22</v>
      </c>
      <c r="O57" s="15">
        <v>23</v>
      </c>
      <c r="P57">
        <f t="shared" si="0"/>
        <v>2024</v>
      </c>
      <c r="Q57" s="15">
        <v>17</v>
      </c>
      <c r="R57">
        <f t="shared" si="1"/>
        <v>280.5</v>
      </c>
      <c r="S57" s="15">
        <v>0</v>
      </c>
      <c r="T57">
        <f t="shared" si="2"/>
        <v>0</v>
      </c>
      <c r="U57">
        <f t="shared" si="3"/>
        <v>2304.5</v>
      </c>
      <c r="V57">
        <f t="shared" si="4"/>
        <v>23.045000000000002</v>
      </c>
      <c r="W57">
        <f t="shared" si="5"/>
        <v>115.22500000000001</v>
      </c>
      <c r="X57" s="15"/>
      <c r="Y57">
        <f t="shared" si="9"/>
        <v>0</v>
      </c>
      <c r="AA57">
        <f t="shared" si="6"/>
        <v>2166.23</v>
      </c>
      <c r="AC57" s="7">
        <v>16.5</v>
      </c>
      <c r="AD57" s="7">
        <f t="shared" si="23"/>
        <v>14.5</v>
      </c>
      <c r="AE57">
        <f t="shared" si="11"/>
        <v>3036</v>
      </c>
      <c r="AF57">
        <f t="shared" si="12"/>
        <v>369.75</v>
      </c>
      <c r="AG57">
        <f t="shared" si="13"/>
        <v>0</v>
      </c>
      <c r="AH57">
        <f t="shared" si="14"/>
        <v>3405.75</v>
      </c>
    </row>
    <row r="58" spans="1:35" x14ac:dyDescent="0.3">
      <c r="A58">
        <v>56</v>
      </c>
      <c r="B58" t="s">
        <v>258</v>
      </c>
      <c r="C58" t="s">
        <v>257</v>
      </c>
      <c r="E58" t="s">
        <v>249</v>
      </c>
      <c r="F58" t="s">
        <v>218</v>
      </c>
      <c r="G58" s="9" t="s">
        <v>259</v>
      </c>
      <c r="I58" s="9" t="s">
        <v>259</v>
      </c>
      <c r="K58">
        <v>11</v>
      </c>
      <c r="L58">
        <v>8</v>
      </c>
      <c r="M58" s="7">
        <f t="shared" si="7"/>
        <v>16.5</v>
      </c>
      <c r="N58">
        <f t="shared" si="8"/>
        <v>22</v>
      </c>
      <c r="O58" s="15">
        <v>25</v>
      </c>
      <c r="P58">
        <f t="shared" si="0"/>
        <v>2200</v>
      </c>
      <c r="Q58" s="15">
        <v>26</v>
      </c>
      <c r="R58">
        <f t="shared" si="1"/>
        <v>429</v>
      </c>
      <c r="S58" s="15">
        <v>0</v>
      </c>
      <c r="T58">
        <f t="shared" si="2"/>
        <v>0</v>
      </c>
      <c r="U58">
        <f t="shared" si="3"/>
        <v>2629</v>
      </c>
      <c r="V58">
        <f t="shared" si="4"/>
        <v>26.29</v>
      </c>
      <c r="W58">
        <f t="shared" si="5"/>
        <v>131.45000000000002</v>
      </c>
      <c r="X58" s="15"/>
      <c r="Y58">
        <f t="shared" si="9"/>
        <v>0</v>
      </c>
      <c r="AA58">
        <f t="shared" si="6"/>
        <v>2471.2600000000002</v>
      </c>
      <c r="AC58" s="7">
        <v>16.5</v>
      </c>
      <c r="AD58" s="7">
        <f t="shared" si="23"/>
        <v>14.5</v>
      </c>
      <c r="AE58">
        <f t="shared" si="11"/>
        <v>3300</v>
      </c>
      <c r="AF58">
        <f t="shared" si="12"/>
        <v>565.5</v>
      </c>
      <c r="AG58">
        <f t="shared" si="13"/>
        <v>0</v>
      </c>
      <c r="AH58">
        <f t="shared" si="14"/>
        <v>3865.5</v>
      </c>
    </row>
    <row r="59" spans="1:35" x14ac:dyDescent="0.3">
      <c r="A59">
        <v>57</v>
      </c>
      <c r="B59" t="s">
        <v>261</v>
      </c>
      <c r="C59" t="s">
        <v>260</v>
      </c>
      <c r="E59" t="s">
        <v>249</v>
      </c>
      <c r="F59" t="s">
        <v>218</v>
      </c>
      <c r="G59" s="9" t="s">
        <v>262</v>
      </c>
      <c r="I59" s="9" t="s">
        <v>262</v>
      </c>
      <c r="K59">
        <v>11</v>
      </c>
      <c r="L59">
        <v>8</v>
      </c>
      <c r="M59" s="7">
        <f t="shared" si="7"/>
        <v>16.5</v>
      </c>
      <c r="N59">
        <f t="shared" si="8"/>
        <v>22</v>
      </c>
      <c r="O59" s="15">
        <v>14</v>
      </c>
      <c r="P59">
        <f t="shared" si="0"/>
        <v>1232</v>
      </c>
      <c r="Q59" s="15">
        <v>28</v>
      </c>
      <c r="R59">
        <f t="shared" si="1"/>
        <v>462</v>
      </c>
      <c r="S59" s="15">
        <v>0</v>
      </c>
      <c r="T59">
        <f t="shared" si="2"/>
        <v>0</v>
      </c>
      <c r="U59">
        <f t="shared" si="3"/>
        <v>1694</v>
      </c>
      <c r="V59">
        <f t="shared" si="4"/>
        <v>16.940000000000001</v>
      </c>
      <c r="W59">
        <f t="shared" si="5"/>
        <v>84.7</v>
      </c>
      <c r="X59" s="15"/>
      <c r="Y59">
        <f t="shared" si="9"/>
        <v>0</v>
      </c>
      <c r="AA59">
        <f t="shared" si="6"/>
        <v>1592.36</v>
      </c>
      <c r="AC59" s="7">
        <v>16.5</v>
      </c>
      <c r="AD59" s="7">
        <f t="shared" si="23"/>
        <v>14.5</v>
      </c>
      <c r="AE59">
        <f t="shared" si="11"/>
        <v>1848</v>
      </c>
      <c r="AF59">
        <f t="shared" si="12"/>
        <v>609</v>
      </c>
      <c r="AG59">
        <f t="shared" si="13"/>
        <v>0</v>
      </c>
      <c r="AH59">
        <f t="shared" si="14"/>
        <v>2457</v>
      </c>
    </row>
    <row r="60" spans="1:35" x14ac:dyDescent="0.3">
      <c r="A60">
        <v>58</v>
      </c>
      <c r="B60" t="s">
        <v>264</v>
      </c>
      <c r="C60" t="s">
        <v>263</v>
      </c>
      <c r="E60" t="s">
        <v>249</v>
      </c>
      <c r="F60" t="s">
        <v>218</v>
      </c>
      <c r="G60" s="9" t="s">
        <v>265</v>
      </c>
      <c r="I60" s="9" t="s">
        <v>265</v>
      </c>
      <c r="K60">
        <v>11</v>
      </c>
      <c r="L60">
        <v>8</v>
      </c>
      <c r="M60" s="7">
        <f t="shared" si="7"/>
        <v>16.5</v>
      </c>
      <c r="N60">
        <f t="shared" si="8"/>
        <v>22</v>
      </c>
      <c r="O60" s="15">
        <v>25</v>
      </c>
      <c r="P60">
        <f t="shared" si="0"/>
        <v>2200</v>
      </c>
      <c r="Q60" s="15">
        <v>69</v>
      </c>
      <c r="R60">
        <f t="shared" si="1"/>
        <v>1138.5</v>
      </c>
      <c r="S60" s="15">
        <v>12</v>
      </c>
      <c r="T60">
        <f t="shared" si="2"/>
        <v>264</v>
      </c>
      <c r="U60">
        <f t="shared" si="3"/>
        <v>3602.5</v>
      </c>
      <c r="V60">
        <f t="shared" si="4"/>
        <v>36.024999999999999</v>
      </c>
      <c r="W60">
        <f t="shared" si="5"/>
        <v>180.125</v>
      </c>
      <c r="X60" s="15"/>
      <c r="Y60">
        <f t="shared" si="9"/>
        <v>0</v>
      </c>
      <c r="AA60">
        <f t="shared" si="6"/>
        <v>3386.35</v>
      </c>
      <c r="AC60" s="7">
        <v>16.5</v>
      </c>
      <c r="AD60" s="7">
        <f t="shared" si="23"/>
        <v>14.5</v>
      </c>
      <c r="AE60">
        <f t="shared" si="11"/>
        <v>3300</v>
      </c>
      <c r="AF60">
        <f t="shared" si="12"/>
        <v>1500.75</v>
      </c>
      <c r="AG60">
        <f t="shared" si="13"/>
        <v>348</v>
      </c>
      <c r="AH60">
        <f t="shared" si="14"/>
        <v>5148.75</v>
      </c>
    </row>
    <row r="61" spans="1:35" x14ac:dyDescent="0.3">
      <c r="A61">
        <v>59</v>
      </c>
      <c r="B61" t="s">
        <v>267</v>
      </c>
      <c r="C61" t="s">
        <v>266</v>
      </c>
      <c r="E61" t="s">
        <v>249</v>
      </c>
      <c r="F61" t="s">
        <v>218</v>
      </c>
      <c r="G61" s="9" t="s">
        <v>268</v>
      </c>
      <c r="I61" s="9" t="s">
        <v>268</v>
      </c>
      <c r="K61">
        <v>11</v>
      </c>
      <c r="L61">
        <v>8</v>
      </c>
      <c r="M61" s="7">
        <f t="shared" si="7"/>
        <v>16.5</v>
      </c>
      <c r="N61">
        <f t="shared" si="8"/>
        <v>22</v>
      </c>
      <c r="O61" s="15">
        <v>26</v>
      </c>
      <c r="P61">
        <f t="shared" si="0"/>
        <v>2288</v>
      </c>
      <c r="Q61" s="15">
        <v>65</v>
      </c>
      <c r="R61">
        <f t="shared" si="1"/>
        <v>1072.5</v>
      </c>
      <c r="S61" s="15">
        <v>0</v>
      </c>
      <c r="T61">
        <f t="shared" si="2"/>
        <v>0</v>
      </c>
      <c r="U61">
        <f t="shared" si="3"/>
        <v>3360.5</v>
      </c>
      <c r="V61">
        <f t="shared" si="4"/>
        <v>33.605000000000004</v>
      </c>
      <c r="W61">
        <f t="shared" si="5"/>
        <v>168.02500000000001</v>
      </c>
      <c r="X61" s="15"/>
      <c r="Y61">
        <f t="shared" si="9"/>
        <v>0</v>
      </c>
      <c r="AA61">
        <f t="shared" si="6"/>
        <v>3158.87</v>
      </c>
      <c r="AC61" s="7">
        <v>16.5</v>
      </c>
      <c r="AD61" s="7">
        <f t="shared" si="23"/>
        <v>14.5</v>
      </c>
      <c r="AE61">
        <f t="shared" si="11"/>
        <v>3432</v>
      </c>
      <c r="AF61">
        <f t="shared" si="12"/>
        <v>1413.75</v>
      </c>
      <c r="AG61">
        <f t="shared" si="13"/>
        <v>0</v>
      </c>
      <c r="AH61">
        <f t="shared" si="14"/>
        <v>4845.75</v>
      </c>
      <c r="AI61" s="6">
        <f>SUM(AH46:AH61)</f>
        <v>82172.5</v>
      </c>
    </row>
    <row r="62" spans="1:35" x14ac:dyDescent="0.3">
      <c r="A62">
        <v>60</v>
      </c>
      <c r="B62" s="1" t="s">
        <v>286</v>
      </c>
      <c r="C62" s="1" t="s">
        <v>298</v>
      </c>
      <c r="D62" s="1" t="s">
        <v>318</v>
      </c>
      <c r="E62" s="1" t="s">
        <v>322</v>
      </c>
      <c r="F62" s="1" t="s">
        <v>321</v>
      </c>
      <c r="G62" s="9"/>
      <c r="I62" s="9"/>
      <c r="K62">
        <v>20</v>
      </c>
      <c r="L62">
        <v>8</v>
      </c>
      <c r="M62" s="7">
        <f t="shared" si="7"/>
        <v>30</v>
      </c>
      <c r="N62">
        <f t="shared" si="8"/>
        <v>40</v>
      </c>
      <c r="O62" s="15">
        <v>4</v>
      </c>
      <c r="P62">
        <f t="shared" si="0"/>
        <v>640</v>
      </c>
      <c r="Q62" s="15">
        <v>12</v>
      </c>
      <c r="R62">
        <f t="shared" si="1"/>
        <v>360</v>
      </c>
      <c r="S62" s="15">
        <v>0</v>
      </c>
      <c r="T62">
        <f t="shared" si="2"/>
        <v>0</v>
      </c>
      <c r="U62">
        <f t="shared" si="3"/>
        <v>1000</v>
      </c>
      <c r="V62">
        <f t="shared" si="4"/>
        <v>10</v>
      </c>
      <c r="W62">
        <f t="shared" si="5"/>
        <v>50</v>
      </c>
      <c r="X62" s="15"/>
      <c r="Y62">
        <f t="shared" si="9"/>
        <v>0</v>
      </c>
      <c r="AA62">
        <f t="shared" si="6"/>
        <v>940</v>
      </c>
      <c r="AC62" s="7">
        <v>25</v>
      </c>
      <c r="AD62" s="7">
        <f t="shared" si="23"/>
        <v>23</v>
      </c>
      <c r="AE62">
        <f t="shared" si="11"/>
        <v>800</v>
      </c>
      <c r="AF62">
        <f t="shared" si="12"/>
        <v>414</v>
      </c>
      <c r="AG62">
        <f t="shared" si="13"/>
        <v>0</v>
      </c>
      <c r="AH62">
        <f t="shared" si="14"/>
        <v>1214</v>
      </c>
      <c r="AI62" s="6"/>
    </row>
    <row r="63" spans="1:35" x14ac:dyDescent="0.3">
      <c r="A63">
        <v>61</v>
      </c>
      <c r="B63" s="1" t="s">
        <v>287</v>
      </c>
      <c r="C63" s="1" t="s">
        <v>299</v>
      </c>
      <c r="D63" s="1" t="s">
        <v>319</v>
      </c>
      <c r="E63" s="1" t="s">
        <v>174</v>
      </c>
      <c r="F63" s="1" t="s">
        <v>321</v>
      </c>
      <c r="G63" s="9"/>
      <c r="I63" s="9"/>
      <c r="K63">
        <v>20</v>
      </c>
      <c r="L63">
        <v>8</v>
      </c>
      <c r="M63" s="7">
        <f t="shared" si="7"/>
        <v>30</v>
      </c>
      <c r="N63">
        <f t="shared" si="8"/>
        <v>40</v>
      </c>
      <c r="O63" s="15">
        <v>20</v>
      </c>
      <c r="P63">
        <f t="shared" si="0"/>
        <v>3200</v>
      </c>
      <c r="Q63" s="15">
        <v>76</v>
      </c>
      <c r="R63">
        <f t="shared" si="1"/>
        <v>2280</v>
      </c>
      <c r="S63" s="15">
        <v>13</v>
      </c>
      <c r="T63">
        <f t="shared" si="2"/>
        <v>520</v>
      </c>
      <c r="U63">
        <f t="shared" si="3"/>
        <v>6000</v>
      </c>
      <c r="V63">
        <f t="shared" si="4"/>
        <v>60</v>
      </c>
      <c r="W63">
        <f t="shared" si="5"/>
        <v>300</v>
      </c>
      <c r="X63" s="15"/>
      <c r="Y63">
        <f t="shared" si="9"/>
        <v>0</v>
      </c>
      <c r="AA63">
        <f t="shared" si="6"/>
        <v>5640</v>
      </c>
      <c r="AC63" s="7">
        <v>25</v>
      </c>
      <c r="AD63" s="7">
        <f t="shared" si="23"/>
        <v>23</v>
      </c>
      <c r="AE63">
        <f t="shared" si="11"/>
        <v>4000</v>
      </c>
      <c r="AF63">
        <f t="shared" si="12"/>
        <v>2622</v>
      </c>
      <c r="AG63">
        <f t="shared" si="13"/>
        <v>598</v>
      </c>
      <c r="AH63">
        <f t="shared" si="14"/>
        <v>7220</v>
      </c>
      <c r="AI63" s="6"/>
    </row>
    <row r="64" spans="1:35" x14ac:dyDescent="0.3">
      <c r="A64">
        <v>62</v>
      </c>
      <c r="B64" s="1" t="s">
        <v>288</v>
      </c>
      <c r="C64" s="1" t="s">
        <v>328</v>
      </c>
      <c r="D64" s="1" t="s">
        <v>320</v>
      </c>
      <c r="E64" s="1" t="s">
        <v>323</v>
      </c>
      <c r="F64" s="1" t="s">
        <v>321</v>
      </c>
      <c r="G64" s="9"/>
      <c r="I64" s="9"/>
      <c r="K64">
        <v>22</v>
      </c>
      <c r="L64">
        <v>8</v>
      </c>
      <c r="M64" s="7">
        <f t="shared" si="7"/>
        <v>33</v>
      </c>
      <c r="N64">
        <f t="shared" si="8"/>
        <v>44</v>
      </c>
      <c r="O64" s="15">
        <v>8</v>
      </c>
      <c r="P64">
        <f t="shared" si="0"/>
        <v>1408</v>
      </c>
      <c r="Q64" s="15">
        <v>21</v>
      </c>
      <c r="R64">
        <f t="shared" si="1"/>
        <v>693</v>
      </c>
      <c r="S64" s="15">
        <v>11</v>
      </c>
      <c r="T64">
        <f t="shared" si="2"/>
        <v>484</v>
      </c>
      <c r="U64">
        <f t="shared" si="3"/>
        <v>2585</v>
      </c>
      <c r="V64">
        <f t="shared" si="4"/>
        <v>25.85</v>
      </c>
      <c r="W64">
        <f t="shared" si="5"/>
        <v>129.25</v>
      </c>
      <c r="X64" s="15"/>
      <c r="Y64">
        <f t="shared" si="9"/>
        <v>0</v>
      </c>
      <c r="AA64">
        <f t="shared" si="6"/>
        <v>2429.9</v>
      </c>
      <c r="AC64" s="7">
        <v>27.5</v>
      </c>
      <c r="AD64" s="7">
        <f t="shared" si="23"/>
        <v>25.5</v>
      </c>
      <c r="AE64">
        <f t="shared" si="11"/>
        <v>1760</v>
      </c>
      <c r="AF64">
        <f t="shared" si="12"/>
        <v>803.25</v>
      </c>
      <c r="AG64">
        <f t="shared" si="13"/>
        <v>561</v>
      </c>
      <c r="AH64">
        <f t="shared" si="14"/>
        <v>3124.25</v>
      </c>
      <c r="AI64" s="6"/>
    </row>
    <row r="65" spans="1:35" x14ac:dyDescent="0.3">
      <c r="A65">
        <v>63</v>
      </c>
      <c r="B65" s="1" t="s">
        <v>289</v>
      </c>
      <c r="C65" s="1" t="s">
        <v>300</v>
      </c>
      <c r="D65" s="1" t="s">
        <v>309</v>
      </c>
      <c r="E65" s="1" t="s">
        <v>324</v>
      </c>
      <c r="F65" s="1" t="s">
        <v>321</v>
      </c>
      <c r="G65" s="9"/>
      <c r="I65" s="9"/>
      <c r="K65">
        <v>20</v>
      </c>
      <c r="L65">
        <v>8</v>
      </c>
      <c r="M65" s="7">
        <f t="shared" si="7"/>
        <v>30</v>
      </c>
      <c r="N65">
        <f t="shared" si="8"/>
        <v>40</v>
      </c>
      <c r="O65" s="15">
        <v>4</v>
      </c>
      <c r="P65">
        <f t="shared" si="0"/>
        <v>640</v>
      </c>
      <c r="Q65" s="15">
        <v>12</v>
      </c>
      <c r="R65">
        <f t="shared" si="1"/>
        <v>360</v>
      </c>
      <c r="S65" s="15">
        <v>0</v>
      </c>
      <c r="T65">
        <f t="shared" si="2"/>
        <v>0</v>
      </c>
      <c r="U65">
        <f t="shared" si="3"/>
        <v>1000</v>
      </c>
      <c r="V65">
        <f t="shared" si="4"/>
        <v>10</v>
      </c>
      <c r="W65">
        <f t="shared" si="5"/>
        <v>50</v>
      </c>
      <c r="X65" s="15"/>
      <c r="Y65">
        <f t="shared" si="9"/>
        <v>0</v>
      </c>
      <c r="AA65">
        <f t="shared" si="6"/>
        <v>940</v>
      </c>
      <c r="AC65" s="7">
        <v>25</v>
      </c>
      <c r="AD65" s="7">
        <f t="shared" si="23"/>
        <v>23</v>
      </c>
      <c r="AE65">
        <f t="shared" si="11"/>
        <v>800</v>
      </c>
      <c r="AF65">
        <f t="shared" si="12"/>
        <v>414</v>
      </c>
      <c r="AG65">
        <f t="shared" si="13"/>
        <v>0</v>
      </c>
      <c r="AH65">
        <f t="shared" si="14"/>
        <v>1214</v>
      </c>
      <c r="AI65" s="6"/>
    </row>
    <row r="66" spans="1:35" x14ac:dyDescent="0.3">
      <c r="A66">
        <v>64</v>
      </c>
      <c r="B66" s="1" t="s">
        <v>290</v>
      </c>
      <c r="C66" s="1" t="s">
        <v>301</v>
      </c>
      <c r="D66" s="1" t="s">
        <v>310</v>
      </c>
      <c r="E66" s="1" t="s">
        <v>325</v>
      </c>
      <c r="F66" s="1" t="s">
        <v>321</v>
      </c>
      <c r="G66" s="9"/>
      <c r="I66" s="9"/>
      <c r="K66">
        <v>20</v>
      </c>
      <c r="L66">
        <v>8</v>
      </c>
      <c r="M66" s="7">
        <f t="shared" si="7"/>
        <v>30</v>
      </c>
      <c r="N66">
        <f t="shared" si="8"/>
        <v>40</v>
      </c>
      <c r="O66" s="15">
        <v>20</v>
      </c>
      <c r="P66">
        <f t="shared" si="0"/>
        <v>3200</v>
      </c>
      <c r="Q66" s="15">
        <v>40</v>
      </c>
      <c r="R66">
        <f t="shared" si="1"/>
        <v>1200</v>
      </c>
      <c r="S66" s="15">
        <v>23</v>
      </c>
      <c r="T66">
        <f t="shared" si="2"/>
        <v>920</v>
      </c>
      <c r="U66">
        <f t="shared" si="3"/>
        <v>5320</v>
      </c>
      <c r="V66">
        <f t="shared" si="4"/>
        <v>53.2</v>
      </c>
      <c r="W66">
        <f t="shared" si="5"/>
        <v>266</v>
      </c>
      <c r="X66" s="15"/>
      <c r="Y66">
        <f t="shared" si="9"/>
        <v>0</v>
      </c>
      <c r="AA66">
        <f t="shared" si="6"/>
        <v>5000.8</v>
      </c>
      <c r="AC66" s="7">
        <v>25</v>
      </c>
      <c r="AD66" s="7">
        <f t="shared" si="23"/>
        <v>23</v>
      </c>
      <c r="AE66">
        <f t="shared" si="11"/>
        <v>4000</v>
      </c>
      <c r="AF66">
        <f t="shared" si="12"/>
        <v>1380</v>
      </c>
      <c r="AG66">
        <f t="shared" si="13"/>
        <v>1058</v>
      </c>
      <c r="AH66">
        <f t="shared" si="14"/>
        <v>6438</v>
      </c>
      <c r="AI66" s="6"/>
    </row>
    <row r="67" spans="1:35" x14ac:dyDescent="0.3">
      <c r="A67">
        <v>65</v>
      </c>
      <c r="B67" s="1" t="s">
        <v>291</v>
      </c>
      <c r="C67" s="11" t="s">
        <v>302</v>
      </c>
      <c r="D67" s="1" t="s">
        <v>311</v>
      </c>
      <c r="E67" s="11" t="s">
        <v>79</v>
      </c>
      <c r="F67" s="1" t="s">
        <v>321</v>
      </c>
      <c r="G67" s="9"/>
      <c r="I67" s="9"/>
      <c r="K67">
        <v>20</v>
      </c>
      <c r="L67">
        <v>8</v>
      </c>
      <c r="M67" s="7">
        <f t="shared" si="7"/>
        <v>30</v>
      </c>
      <c r="N67">
        <f t="shared" si="8"/>
        <v>40</v>
      </c>
      <c r="O67" s="16">
        <v>22</v>
      </c>
      <c r="P67">
        <f t="shared" ref="P67:P73" si="24">K67*L67*O67</f>
        <v>3520</v>
      </c>
      <c r="Q67" s="15">
        <v>63</v>
      </c>
      <c r="R67">
        <f t="shared" ref="R67:R73" si="25">Q67*M67</f>
        <v>1890</v>
      </c>
      <c r="S67" s="15">
        <v>11</v>
      </c>
      <c r="T67">
        <f t="shared" ref="T67:T73" si="26">S67*N67</f>
        <v>440</v>
      </c>
      <c r="U67">
        <f t="shared" ref="U67:U73" si="27">P67+R67+T67</f>
        <v>5850</v>
      </c>
      <c r="V67">
        <f t="shared" si="4"/>
        <v>58.5</v>
      </c>
      <c r="W67">
        <f t="shared" si="5"/>
        <v>292.5</v>
      </c>
      <c r="X67" s="15"/>
      <c r="Y67">
        <f t="shared" si="9"/>
        <v>0</v>
      </c>
      <c r="AA67">
        <f t="shared" ref="AA67:AA73" si="28">U67-V67-W67-Y67-Z67</f>
        <v>5499</v>
      </c>
      <c r="AC67" s="7">
        <v>25</v>
      </c>
      <c r="AD67" s="7">
        <f t="shared" si="23"/>
        <v>23</v>
      </c>
      <c r="AE67">
        <f t="shared" si="11"/>
        <v>4400</v>
      </c>
      <c r="AF67">
        <f t="shared" si="12"/>
        <v>2173.5</v>
      </c>
      <c r="AG67">
        <f t="shared" si="13"/>
        <v>506</v>
      </c>
      <c r="AH67">
        <f t="shared" si="14"/>
        <v>7079.5</v>
      </c>
      <c r="AI67" s="6"/>
    </row>
    <row r="68" spans="1:35" x14ac:dyDescent="0.3">
      <c r="A68">
        <v>66</v>
      </c>
      <c r="B68" s="1" t="s">
        <v>292</v>
      </c>
      <c r="C68" s="11" t="s">
        <v>303</v>
      </c>
      <c r="D68" s="1" t="s">
        <v>312</v>
      </c>
      <c r="E68" s="11" t="s">
        <v>79</v>
      </c>
      <c r="F68" s="1" t="s">
        <v>321</v>
      </c>
      <c r="G68" s="9"/>
      <c r="I68" s="9"/>
      <c r="K68">
        <v>20</v>
      </c>
      <c r="L68">
        <v>8</v>
      </c>
      <c r="M68" s="7">
        <f t="shared" si="7"/>
        <v>30</v>
      </c>
      <c r="N68">
        <f t="shared" si="8"/>
        <v>40</v>
      </c>
      <c r="O68" s="16">
        <v>22</v>
      </c>
      <c r="P68">
        <f t="shared" si="24"/>
        <v>3520</v>
      </c>
      <c r="Q68" s="15">
        <v>66</v>
      </c>
      <c r="R68">
        <f t="shared" si="25"/>
        <v>1980</v>
      </c>
      <c r="S68" s="15">
        <v>34</v>
      </c>
      <c r="T68">
        <f t="shared" si="26"/>
        <v>1360</v>
      </c>
      <c r="U68">
        <f t="shared" si="27"/>
        <v>6860</v>
      </c>
      <c r="V68">
        <f t="shared" si="4"/>
        <v>68.600000000000009</v>
      </c>
      <c r="W68">
        <f t="shared" si="5"/>
        <v>343</v>
      </c>
      <c r="X68" s="15"/>
      <c r="Y68">
        <f t="shared" ref="Y68:Y73" si="29">X68*0.3+X68</f>
        <v>0</v>
      </c>
      <c r="AA68">
        <f t="shared" si="28"/>
        <v>6448.4</v>
      </c>
      <c r="AC68" s="7">
        <v>25</v>
      </c>
      <c r="AD68" s="7">
        <f t="shared" si="23"/>
        <v>23</v>
      </c>
      <c r="AE68">
        <f t="shared" ref="AE68:AE73" si="30">AC68*8*O68</f>
        <v>4400</v>
      </c>
      <c r="AF68">
        <f t="shared" ref="AF68:AF73" si="31">AD68*1.5*Q68</f>
        <v>2277</v>
      </c>
      <c r="AG68">
        <f t="shared" ref="AG68:AG73" si="32">AD68*2*S68</f>
        <v>1564</v>
      </c>
      <c r="AH68">
        <f t="shared" ref="AH68:AH73" si="33">AE68+AF68+AG68</f>
        <v>8241</v>
      </c>
      <c r="AI68" s="6"/>
    </row>
    <row r="69" spans="1:35" x14ac:dyDescent="0.3">
      <c r="A69">
        <v>67</v>
      </c>
      <c r="B69" s="1" t="s">
        <v>293</v>
      </c>
      <c r="C69" s="11" t="s">
        <v>304</v>
      </c>
      <c r="D69" s="1" t="s">
        <v>313</v>
      </c>
      <c r="E69" s="11" t="s">
        <v>79</v>
      </c>
      <c r="F69" s="1" t="s">
        <v>321</v>
      </c>
      <c r="G69" s="9"/>
      <c r="I69" s="9"/>
      <c r="K69">
        <v>20</v>
      </c>
      <c r="L69">
        <v>8</v>
      </c>
      <c r="M69" s="7">
        <f t="shared" ref="M69:M74" si="34">K69*1.5</f>
        <v>30</v>
      </c>
      <c r="N69">
        <f t="shared" ref="N69:N74" si="35">K69*2</f>
        <v>40</v>
      </c>
      <c r="O69" s="16">
        <v>22</v>
      </c>
      <c r="P69">
        <f t="shared" si="24"/>
        <v>3520</v>
      </c>
      <c r="Q69" s="15">
        <v>78</v>
      </c>
      <c r="R69">
        <f t="shared" si="25"/>
        <v>2340</v>
      </c>
      <c r="S69" s="15">
        <v>37</v>
      </c>
      <c r="T69">
        <f t="shared" si="26"/>
        <v>1480</v>
      </c>
      <c r="U69">
        <f t="shared" si="27"/>
        <v>7340</v>
      </c>
      <c r="V69">
        <f t="shared" si="4"/>
        <v>73.400000000000006</v>
      </c>
      <c r="W69">
        <f t="shared" si="5"/>
        <v>367</v>
      </c>
      <c r="X69" s="15"/>
      <c r="Y69">
        <f t="shared" si="29"/>
        <v>0</v>
      </c>
      <c r="AA69">
        <f t="shared" si="28"/>
        <v>6899.6</v>
      </c>
      <c r="AC69" s="7">
        <v>25</v>
      </c>
      <c r="AD69" s="7">
        <f t="shared" si="23"/>
        <v>23</v>
      </c>
      <c r="AE69">
        <f t="shared" si="30"/>
        <v>4400</v>
      </c>
      <c r="AF69">
        <f t="shared" si="31"/>
        <v>2691</v>
      </c>
      <c r="AG69">
        <f t="shared" si="32"/>
        <v>1702</v>
      </c>
      <c r="AH69">
        <f t="shared" si="33"/>
        <v>8793</v>
      </c>
      <c r="AI69" s="6"/>
    </row>
    <row r="70" spans="1:35" x14ac:dyDescent="0.3">
      <c r="A70">
        <v>68</v>
      </c>
      <c r="B70" s="1" t="s">
        <v>294</v>
      </c>
      <c r="C70" s="11" t="s">
        <v>305</v>
      </c>
      <c r="D70" s="1" t="s">
        <v>314</v>
      </c>
      <c r="E70" s="11" t="s">
        <v>79</v>
      </c>
      <c r="F70" s="1" t="s">
        <v>321</v>
      </c>
      <c r="G70" s="9"/>
      <c r="I70" s="9"/>
      <c r="K70">
        <v>20</v>
      </c>
      <c r="L70">
        <v>8</v>
      </c>
      <c r="M70" s="7">
        <f t="shared" si="34"/>
        <v>30</v>
      </c>
      <c r="N70">
        <f t="shared" si="35"/>
        <v>40</v>
      </c>
      <c r="O70" s="16">
        <v>22</v>
      </c>
      <c r="P70">
        <f t="shared" si="24"/>
        <v>3520</v>
      </c>
      <c r="Q70" s="15">
        <v>66</v>
      </c>
      <c r="R70">
        <f t="shared" si="25"/>
        <v>1980</v>
      </c>
      <c r="S70" s="15">
        <v>33</v>
      </c>
      <c r="T70">
        <f t="shared" si="26"/>
        <v>1320</v>
      </c>
      <c r="U70">
        <f t="shared" si="27"/>
        <v>6820</v>
      </c>
      <c r="V70">
        <f t="shared" si="4"/>
        <v>68.2</v>
      </c>
      <c r="W70">
        <f t="shared" si="5"/>
        <v>341</v>
      </c>
      <c r="X70" s="15"/>
      <c r="Y70">
        <f t="shared" si="29"/>
        <v>0</v>
      </c>
      <c r="AA70">
        <f t="shared" si="28"/>
        <v>6410.8</v>
      </c>
      <c r="AC70" s="7">
        <v>25</v>
      </c>
      <c r="AD70" s="7">
        <f t="shared" si="23"/>
        <v>23</v>
      </c>
      <c r="AE70">
        <f t="shared" si="30"/>
        <v>4400</v>
      </c>
      <c r="AF70">
        <f t="shared" si="31"/>
        <v>2277</v>
      </c>
      <c r="AG70">
        <f t="shared" si="32"/>
        <v>1518</v>
      </c>
      <c r="AH70">
        <f t="shared" si="33"/>
        <v>8195</v>
      </c>
      <c r="AI70" s="6"/>
    </row>
    <row r="71" spans="1:35" x14ac:dyDescent="0.3">
      <c r="A71">
        <v>69</v>
      </c>
      <c r="B71" s="1" t="s">
        <v>295</v>
      </c>
      <c r="C71" s="11" t="s">
        <v>306</v>
      </c>
      <c r="D71" s="1" t="s">
        <v>315</v>
      </c>
      <c r="E71" s="11" t="s">
        <v>79</v>
      </c>
      <c r="F71" s="1" t="s">
        <v>321</v>
      </c>
      <c r="G71" s="9"/>
      <c r="I71" s="9"/>
      <c r="K71">
        <v>20</v>
      </c>
      <c r="L71">
        <v>8</v>
      </c>
      <c r="M71" s="7">
        <f t="shared" si="34"/>
        <v>30</v>
      </c>
      <c r="N71">
        <f t="shared" si="35"/>
        <v>40</v>
      </c>
      <c r="O71" s="16">
        <v>22</v>
      </c>
      <c r="P71">
        <f t="shared" si="24"/>
        <v>3520</v>
      </c>
      <c r="Q71" s="15">
        <v>66</v>
      </c>
      <c r="R71">
        <f t="shared" si="25"/>
        <v>1980</v>
      </c>
      <c r="S71" s="15">
        <v>34</v>
      </c>
      <c r="T71">
        <f t="shared" si="26"/>
        <v>1360</v>
      </c>
      <c r="U71">
        <f t="shared" si="27"/>
        <v>6860</v>
      </c>
      <c r="V71">
        <f t="shared" si="4"/>
        <v>68.600000000000009</v>
      </c>
      <c r="W71">
        <f t="shared" si="5"/>
        <v>343</v>
      </c>
      <c r="X71" s="15"/>
      <c r="Y71">
        <f t="shared" si="29"/>
        <v>0</v>
      </c>
      <c r="AA71">
        <f t="shared" si="28"/>
        <v>6448.4</v>
      </c>
      <c r="AC71" s="7">
        <v>25</v>
      </c>
      <c r="AD71" s="7">
        <f t="shared" si="23"/>
        <v>23</v>
      </c>
      <c r="AE71">
        <f t="shared" si="30"/>
        <v>4400</v>
      </c>
      <c r="AF71">
        <f t="shared" si="31"/>
        <v>2277</v>
      </c>
      <c r="AG71">
        <f t="shared" si="32"/>
        <v>1564</v>
      </c>
      <c r="AH71">
        <f t="shared" si="33"/>
        <v>8241</v>
      </c>
      <c r="AI71" s="6"/>
    </row>
    <row r="72" spans="1:35" x14ac:dyDescent="0.3">
      <c r="A72">
        <v>70</v>
      </c>
      <c r="B72" s="1" t="s">
        <v>296</v>
      </c>
      <c r="C72" s="11" t="s">
        <v>307</v>
      </c>
      <c r="D72" s="1" t="s">
        <v>316</v>
      </c>
      <c r="E72" s="11" t="s">
        <v>79</v>
      </c>
      <c r="F72" s="1" t="s">
        <v>321</v>
      </c>
      <c r="G72" s="9"/>
      <c r="I72" s="9"/>
      <c r="K72">
        <v>20</v>
      </c>
      <c r="L72">
        <v>8</v>
      </c>
      <c r="M72" s="7">
        <f t="shared" si="34"/>
        <v>30</v>
      </c>
      <c r="N72">
        <f t="shared" si="35"/>
        <v>40</v>
      </c>
      <c r="O72" s="16">
        <v>22</v>
      </c>
      <c r="P72">
        <f t="shared" si="24"/>
        <v>3520</v>
      </c>
      <c r="Q72" s="15">
        <v>66</v>
      </c>
      <c r="R72">
        <f t="shared" si="25"/>
        <v>1980</v>
      </c>
      <c r="S72" s="15">
        <v>33</v>
      </c>
      <c r="T72">
        <f t="shared" si="26"/>
        <v>1320</v>
      </c>
      <c r="U72">
        <f t="shared" si="27"/>
        <v>6820</v>
      </c>
      <c r="V72">
        <f t="shared" si="4"/>
        <v>68.2</v>
      </c>
      <c r="W72">
        <f t="shared" si="5"/>
        <v>341</v>
      </c>
      <c r="X72" s="15"/>
      <c r="Y72">
        <f t="shared" si="29"/>
        <v>0</v>
      </c>
      <c r="AA72">
        <f t="shared" si="28"/>
        <v>6410.8</v>
      </c>
      <c r="AC72" s="7">
        <v>25</v>
      </c>
      <c r="AD72" s="7">
        <f t="shared" si="23"/>
        <v>23</v>
      </c>
      <c r="AE72">
        <f t="shared" si="30"/>
        <v>4400</v>
      </c>
      <c r="AF72">
        <f t="shared" si="31"/>
        <v>2277</v>
      </c>
      <c r="AG72">
        <f t="shared" si="32"/>
        <v>1518</v>
      </c>
      <c r="AH72">
        <f t="shared" si="33"/>
        <v>8195</v>
      </c>
      <c r="AI72" s="6"/>
    </row>
    <row r="73" spans="1:35" x14ac:dyDescent="0.3">
      <c r="A73">
        <v>71</v>
      </c>
      <c r="B73" s="1" t="s">
        <v>297</v>
      </c>
      <c r="C73" s="11" t="s">
        <v>308</v>
      </c>
      <c r="D73" s="1" t="s">
        <v>317</v>
      </c>
      <c r="E73" s="11" t="s">
        <v>79</v>
      </c>
      <c r="F73" s="1" t="s">
        <v>321</v>
      </c>
      <c r="G73" s="9"/>
      <c r="I73" s="9"/>
      <c r="K73">
        <v>20</v>
      </c>
      <c r="L73">
        <v>8</v>
      </c>
      <c r="M73" s="7">
        <f t="shared" si="34"/>
        <v>30</v>
      </c>
      <c r="N73">
        <f t="shared" si="35"/>
        <v>40</v>
      </c>
      <c r="O73" s="16">
        <v>21</v>
      </c>
      <c r="P73">
        <f t="shared" si="24"/>
        <v>3360</v>
      </c>
      <c r="Q73" s="15">
        <v>63</v>
      </c>
      <c r="R73">
        <f t="shared" si="25"/>
        <v>1890</v>
      </c>
      <c r="S73" s="15">
        <v>29</v>
      </c>
      <c r="T73">
        <f t="shared" si="26"/>
        <v>1160</v>
      </c>
      <c r="U73">
        <f t="shared" si="27"/>
        <v>6410</v>
      </c>
      <c r="V73">
        <f t="shared" si="4"/>
        <v>64.099999999999994</v>
      </c>
      <c r="W73">
        <f t="shared" si="5"/>
        <v>320.5</v>
      </c>
      <c r="X73" s="15"/>
      <c r="Y73">
        <f t="shared" si="29"/>
        <v>0</v>
      </c>
      <c r="AA73">
        <f t="shared" si="28"/>
        <v>6025.4</v>
      </c>
      <c r="AC73" s="7">
        <v>25</v>
      </c>
      <c r="AD73" s="7">
        <f t="shared" si="23"/>
        <v>23</v>
      </c>
      <c r="AE73">
        <f t="shared" si="30"/>
        <v>4200</v>
      </c>
      <c r="AF73">
        <f t="shared" si="31"/>
        <v>2173.5</v>
      </c>
      <c r="AG73">
        <f t="shared" si="32"/>
        <v>1334</v>
      </c>
      <c r="AH73">
        <f t="shared" si="33"/>
        <v>7707.5</v>
      </c>
      <c r="AI73" s="6">
        <f>SUM(AH62:AH73)</f>
        <v>75662.25</v>
      </c>
    </row>
    <row r="74" spans="1:35" x14ac:dyDescent="0.3">
      <c r="A74">
        <v>72</v>
      </c>
      <c r="B74" s="1" t="s">
        <v>333</v>
      </c>
      <c r="C74" s="11" t="s">
        <v>334</v>
      </c>
      <c r="D74" s="1" t="s">
        <v>335</v>
      </c>
      <c r="E74" s="11" t="s">
        <v>336</v>
      </c>
      <c r="F74" s="1" t="s">
        <v>87</v>
      </c>
      <c r="G74" s="9"/>
      <c r="I74" s="9"/>
      <c r="M74" s="7">
        <f t="shared" si="34"/>
        <v>0</v>
      </c>
      <c r="N74">
        <f t="shared" si="35"/>
        <v>0</v>
      </c>
      <c r="O74" s="16"/>
      <c r="Q74" s="15"/>
      <c r="S74" s="15"/>
      <c r="X74" s="15"/>
      <c r="AA74">
        <v>800</v>
      </c>
      <c r="AC74" s="7"/>
      <c r="AD74" s="7"/>
      <c r="AI74" s="6"/>
    </row>
    <row r="75" spans="1:35" x14ac:dyDescent="0.3">
      <c r="U75" s="6">
        <f>SUM(U4:U73)</f>
        <v>287228.75</v>
      </c>
      <c r="V75" s="6">
        <f>U75*1%</f>
        <v>2872.2874999999999</v>
      </c>
      <c r="W75" s="6">
        <f>U75*5%</f>
        <v>14361.4375</v>
      </c>
      <c r="AI75" s="6"/>
    </row>
    <row r="76" spans="1:35" x14ac:dyDescent="0.3">
      <c r="AI76" s="6"/>
    </row>
    <row r="77" spans="1:35" x14ac:dyDescent="0.3">
      <c r="E77" s="18" t="s">
        <v>274</v>
      </c>
      <c r="F77" s="18"/>
      <c r="G77" s="18"/>
      <c r="H77" s="18"/>
      <c r="I77" s="18"/>
      <c r="J77" s="18"/>
      <c r="K77" s="18"/>
    </row>
    <row r="79" spans="1:35" x14ac:dyDescent="0.3">
      <c r="E79" s="13" t="s">
        <v>275</v>
      </c>
      <c r="F79" s="13" t="s">
        <v>285</v>
      </c>
      <c r="G79" s="13" t="s">
        <v>279</v>
      </c>
      <c r="H79" s="13" t="s">
        <v>285</v>
      </c>
      <c r="I79" s="13" t="s">
        <v>280</v>
      </c>
      <c r="J79" s="13" t="s">
        <v>285</v>
      </c>
      <c r="K79" s="13" t="s">
        <v>281</v>
      </c>
      <c r="L79" s="13" t="s">
        <v>285</v>
      </c>
    </row>
    <row r="80" spans="1:35" x14ac:dyDescent="0.3">
      <c r="E80" t="s">
        <v>276</v>
      </c>
      <c r="F80">
        <f>AI61</f>
        <v>82172.5</v>
      </c>
      <c r="G80" t="s">
        <v>276</v>
      </c>
      <c r="H80">
        <f>AI45</f>
        <v>109402</v>
      </c>
      <c r="I80" t="s">
        <v>276</v>
      </c>
      <c r="J80">
        <f>AI27</f>
        <v>118387.5</v>
      </c>
      <c r="K80" t="s">
        <v>276</v>
      </c>
      <c r="L80" s="12">
        <f>AI73</f>
        <v>75662.25</v>
      </c>
      <c r="M80">
        <f>AI73</f>
        <v>75662.25</v>
      </c>
    </row>
    <row r="81" spans="5:13" x14ac:dyDescent="0.3">
      <c r="E81" t="s">
        <v>277</v>
      </c>
      <c r="F81">
        <f>F80*16%</f>
        <v>13147.6</v>
      </c>
      <c r="G81" t="s">
        <v>277</v>
      </c>
      <c r="H81">
        <f>H80*16%</f>
        <v>17504.32</v>
      </c>
      <c r="I81" t="s">
        <v>277</v>
      </c>
      <c r="J81">
        <f>J80*16%</f>
        <v>18942</v>
      </c>
      <c r="K81" t="s">
        <v>277</v>
      </c>
      <c r="L81" s="12">
        <f>L80*16%</f>
        <v>12105.960000000001</v>
      </c>
      <c r="M81">
        <f>M80*16%</f>
        <v>12105.960000000001</v>
      </c>
    </row>
    <row r="82" spans="5:13" x14ac:dyDescent="0.3">
      <c r="E82" t="s">
        <v>278</v>
      </c>
      <c r="F82" s="6">
        <f>SUM(F80:F81)</f>
        <v>95320.1</v>
      </c>
      <c r="G82" t="s">
        <v>278</v>
      </c>
      <c r="H82" s="6">
        <f>SUM(H80:H81)</f>
        <v>126906.32</v>
      </c>
      <c r="I82" t="s">
        <v>278</v>
      </c>
      <c r="J82" s="6">
        <f>SUM(J80:J81)</f>
        <v>137329.5</v>
      </c>
      <c r="K82" t="s">
        <v>278</v>
      </c>
      <c r="L82" s="12">
        <f>SUM(L80:L81)</f>
        <v>87768.21</v>
      </c>
      <c r="M82" s="6">
        <f>SUM(M80:M81)</f>
        <v>87768.21</v>
      </c>
    </row>
    <row r="84" spans="5:13" x14ac:dyDescent="0.3">
      <c r="E84" t="s">
        <v>282</v>
      </c>
      <c r="G84">
        <f>F80+H80+J80+M80</f>
        <v>385624.25</v>
      </c>
    </row>
    <row r="85" spans="5:13" x14ac:dyDescent="0.3">
      <c r="E85" t="s">
        <v>284</v>
      </c>
      <c r="G85">
        <f>U75</f>
        <v>287228.75</v>
      </c>
    </row>
    <row r="86" spans="5:13" x14ac:dyDescent="0.3">
      <c r="E86" t="s">
        <v>283</v>
      </c>
      <c r="G86" s="6">
        <f>G84-G85</f>
        <v>98395.5</v>
      </c>
    </row>
  </sheetData>
  <mergeCells count="1">
    <mergeCell ref="E77:K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Ackim Mwanza</cp:lastModifiedBy>
  <dcterms:created xsi:type="dcterms:W3CDTF">2026-06-27T13:26:56Z</dcterms:created>
  <dcterms:modified xsi:type="dcterms:W3CDTF">2026-07-08T16:10:25Z</dcterms:modified>
</cp:coreProperties>
</file>