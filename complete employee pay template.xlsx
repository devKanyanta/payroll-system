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10" yWindow="-110" windowWidth="23260" windowHeight="12460"/>
  </bookViews>
  <sheets>
    <sheet name="PAYROL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" l="1"/>
  <c r="G74" i="1"/>
  <c r="G73" i="1"/>
  <c r="J71" i="1"/>
  <c r="H71" i="1"/>
  <c r="F71" i="1"/>
  <c r="J70" i="1"/>
  <c r="H70" i="1"/>
  <c r="F70" i="1"/>
  <c r="J69" i="1"/>
  <c r="H69" i="1"/>
  <c r="F69" i="1"/>
  <c r="AI64" i="1"/>
  <c r="AD62" i="1"/>
  <c r="AF62" i="1" s="1"/>
  <c r="AD61" i="1"/>
  <c r="AG61" i="1" s="1"/>
  <c r="AD60" i="1"/>
  <c r="AD59" i="1"/>
  <c r="AD58" i="1"/>
  <c r="AF58" i="1" s="1"/>
  <c r="AD57" i="1"/>
  <c r="AF57" i="1" s="1"/>
  <c r="AD56" i="1"/>
  <c r="AD55" i="1"/>
  <c r="AD54" i="1"/>
  <c r="AF54" i="1" s="1"/>
  <c r="AD53" i="1"/>
  <c r="AG53" i="1" s="1"/>
  <c r="AD52" i="1"/>
  <c r="AD51" i="1"/>
  <c r="AD50" i="1"/>
  <c r="AG50" i="1" s="1"/>
  <c r="AD49" i="1"/>
  <c r="AF49" i="1" s="1"/>
  <c r="AD48" i="1"/>
  <c r="AD47" i="1"/>
  <c r="M30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4" i="1"/>
  <c r="AD27" i="1"/>
  <c r="AD26" i="1"/>
  <c r="AF26" i="1" s="1"/>
  <c r="AD25" i="1"/>
  <c r="AD24" i="1"/>
  <c r="AD23" i="1"/>
  <c r="AD22" i="1"/>
  <c r="AG22" i="1" s="1"/>
  <c r="AD21" i="1"/>
  <c r="AF21" i="1" s="1"/>
  <c r="AD20" i="1"/>
  <c r="AG20" i="1" s="1"/>
  <c r="AD19" i="1"/>
  <c r="AD18" i="1"/>
  <c r="AF18" i="1" s="1"/>
  <c r="AD17" i="1"/>
  <c r="AD16" i="1"/>
  <c r="AD15" i="1"/>
  <c r="AD14" i="1"/>
  <c r="AG14" i="1" s="1"/>
  <c r="AD13" i="1"/>
  <c r="AF13" i="1" s="1"/>
  <c r="AD12" i="1"/>
  <c r="AG12" i="1" s="1"/>
  <c r="AD11" i="1"/>
  <c r="AD10" i="1"/>
  <c r="AF10" i="1" s="1"/>
  <c r="AD9" i="1"/>
  <c r="AD8" i="1"/>
  <c r="AD7" i="1"/>
  <c r="AG7" i="1" s="1"/>
  <c r="AD6" i="1"/>
  <c r="AG6" i="1" s="1"/>
  <c r="AD5" i="1"/>
  <c r="AF5" i="1" s="1"/>
  <c r="AD4" i="1"/>
  <c r="AG4" i="1" s="1"/>
  <c r="AH34" i="1"/>
  <c r="AH35" i="1"/>
  <c r="AH42" i="1"/>
  <c r="AH43" i="1"/>
  <c r="AG5" i="1"/>
  <c r="AG8" i="1"/>
  <c r="AG9" i="1"/>
  <c r="AG11" i="1"/>
  <c r="AG13" i="1"/>
  <c r="AG15" i="1"/>
  <c r="AG16" i="1"/>
  <c r="AG17" i="1"/>
  <c r="AG19" i="1"/>
  <c r="AG21" i="1"/>
  <c r="AG23" i="1"/>
  <c r="AG24" i="1"/>
  <c r="AG25" i="1"/>
  <c r="AG27" i="1"/>
  <c r="AG28" i="1"/>
  <c r="AG29" i="1"/>
  <c r="AG30" i="1"/>
  <c r="AG31" i="1"/>
  <c r="AG32" i="1"/>
  <c r="AG33" i="1"/>
  <c r="AH33" i="1" s="1"/>
  <c r="AG34" i="1"/>
  <c r="AG35" i="1"/>
  <c r="AG36" i="1"/>
  <c r="AG37" i="1"/>
  <c r="AG38" i="1"/>
  <c r="AG39" i="1"/>
  <c r="AG40" i="1"/>
  <c r="AG41" i="1"/>
  <c r="AH41" i="1" s="1"/>
  <c r="AG42" i="1"/>
  <c r="AG43" i="1"/>
  <c r="AG44" i="1"/>
  <c r="AG45" i="1"/>
  <c r="AG46" i="1"/>
  <c r="AG47" i="1"/>
  <c r="AG48" i="1"/>
  <c r="AG51" i="1"/>
  <c r="AG52" i="1"/>
  <c r="AG55" i="1"/>
  <c r="AG56" i="1"/>
  <c r="AG59" i="1"/>
  <c r="AG60" i="1"/>
  <c r="AF7" i="1"/>
  <c r="AF8" i="1"/>
  <c r="AF9" i="1"/>
  <c r="AF11" i="1"/>
  <c r="AF15" i="1"/>
  <c r="AF16" i="1"/>
  <c r="AF17" i="1"/>
  <c r="AF19" i="1"/>
  <c r="AF23" i="1"/>
  <c r="AF24" i="1"/>
  <c r="AF25" i="1"/>
  <c r="AF27" i="1"/>
  <c r="AF28" i="1"/>
  <c r="AF29" i="1"/>
  <c r="AF30" i="1"/>
  <c r="AF31" i="1"/>
  <c r="AF32" i="1"/>
  <c r="AH32" i="1" s="1"/>
  <c r="AF33" i="1"/>
  <c r="AF34" i="1"/>
  <c r="AF35" i="1"/>
  <c r="AF36" i="1"/>
  <c r="AF37" i="1"/>
  <c r="AF38" i="1"/>
  <c r="AF39" i="1"/>
  <c r="AF40" i="1"/>
  <c r="AH40" i="1" s="1"/>
  <c r="AF41" i="1"/>
  <c r="AF42" i="1"/>
  <c r="AF43" i="1"/>
  <c r="AF44" i="1"/>
  <c r="AF45" i="1"/>
  <c r="AF46" i="1"/>
  <c r="AF47" i="1"/>
  <c r="AF48" i="1"/>
  <c r="AF51" i="1"/>
  <c r="AF52" i="1"/>
  <c r="AF53" i="1"/>
  <c r="AF55" i="1"/>
  <c r="AF56" i="1"/>
  <c r="AF59" i="1"/>
  <c r="AH59" i="1" s="1"/>
  <c r="AF60" i="1"/>
  <c r="AF61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H23" i="1" s="1"/>
  <c r="AE24" i="1"/>
  <c r="AE25" i="1"/>
  <c r="AE26" i="1"/>
  <c r="AE27" i="1"/>
  <c r="AE28" i="1"/>
  <c r="AE29" i="1"/>
  <c r="AH29" i="1" s="1"/>
  <c r="AE30" i="1"/>
  <c r="AH30" i="1" s="1"/>
  <c r="AE31" i="1"/>
  <c r="AH31" i="1" s="1"/>
  <c r="AE32" i="1"/>
  <c r="AE33" i="1"/>
  <c r="AE34" i="1"/>
  <c r="AE35" i="1"/>
  <c r="AE36" i="1"/>
  <c r="AH36" i="1" s="1"/>
  <c r="AE37" i="1"/>
  <c r="AH37" i="1" s="1"/>
  <c r="AE38" i="1"/>
  <c r="AH38" i="1" s="1"/>
  <c r="AE39" i="1"/>
  <c r="AH39" i="1" s="1"/>
  <c r="AE40" i="1"/>
  <c r="AE41" i="1"/>
  <c r="AE42" i="1"/>
  <c r="AE43" i="1"/>
  <c r="AE44" i="1"/>
  <c r="AH44" i="1" s="1"/>
  <c r="AE45" i="1"/>
  <c r="AH45" i="1" s="1"/>
  <c r="AE46" i="1"/>
  <c r="AH46" i="1" s="1"/>
  <c r="AE47" i="1"/>
  <c r="AE48" i="1"/>
  <c r="AE49" i="1"/>
  <c r="AE50" i="1"/>
  <c r="AE51" i="1"/>
  <c r="AH51" i="1" s="1"/>
  <c r="AE52" i="1"/>
  <c r="AE53" i="1"/>
  <c r="AE54" i="1"/>
  <c r="AE55" i="1"/>
  <c r="AE56" i="1"/>
  <c r="AE57" i="1"/>
  <c r="AE58" i="1"/>
  <c r="AE59" i="1"/>
  <c r="AE60" i="1"/>
  <c r="AE61" i="1"/>
  <c r="AE62" i="1"/>
  <c r="AE4" i="1"/>
  <c r="AF4" i="1"/>
  <c r="AG58" i="1" l="1"/>
  <c r="AF50" i="1"/>
  <c r="AG57" i="1"/>
  <c r="AH57" i="1" s="1"/>
  <c r="AG49" i="1"/>
  <c r="AH49" i="1" s="1"/>
  <c r="AH61" i="1"/>
  <c r="AH53" i="1"/>
  <c r="AG62" i="1"/>
  <c r="AH62" i="1" s="1"/>
  <c r="AG54" i="1"/>
  <c r="AH54" i="1" s="1"/>
  <c r="AH60" i="1"/>
  <c r="AH52" i="1"/>
  <c r="AH50" i="1"/>
  <c r="AH58" i="1"/>
  <c r="AH55" i="1"/>
  <c r="AH47" i="1"/>
  <c r="AH56" i="1"/>
  <c r="AH48" i="1"/>
  <c r="AH15" i="1"/>
  <c r="AH7" i="1"/>
  <c r="AG26" i="1"/>
  <c r="AH26" i="1" s="1"/>
  <c r="AG18" i="1"/>
  <c r="AH18" i="1" s="1"/>
  <c r="AG10" i="1"/>
  <c r="AH10" i="1" s="1"/>
  <c r="AH21" i="1"/>
  <c r="AF22" i="1"/>
  <c r="AH22" i="1" s="1"/>
  <c r="AF14" i="1"/>
  <c r="AH14" i="1" s="1"/>
  <c r="AF6" i="1"/>
  <c r="AH6" i="1" s="1"/>
  <c r="AH4" i="1"/>
  <c r="AH13" i="1"/>
  <c r="AH27" i="1"/>
  <c r="AH19" i="1"/>
  <c r="AH11" i="1"/>
  <c r="AH5" i="1"/>
  <c r="AF20" i="1"/>
  <c r="AH20" i="1" s="1"/>
  <c r="AF12" i="1"/>
  <c r="AH12" i="1" s="1"/>
  <c r="AH24" i="1"/>
  <c r="AH16" i="1"/>
  <c r="AH8" i="1"/>
  <c r="AH25" i="1"/>
  <c r="AH17" i="1"/>
  <c r="AH9" i="1"/>
  <c r="AH28" i="1"/>
  <c r="AI46" i="1"/>
  <c r="AI62" i="1" l="1"/>
  <c r="AI28" i="1"/>
  <c r="Y62" i="1" l="1"/>
  <c r="P62" i="1"/>
  <c r="N62" i="1"/>
  <c r="T62" i="1" s="1"/>
  <c r="M62" i="1"/>
  <c r="R62" i="1" s="1"/>
  <c r="Y61" i="1"/>
  <c r="R61" i="1"/>
  <c r="P61" i="1"/>
  <c r="N61" i="1"/>
  <c r="T61" i="1" s="1"/>
  <c r="M61" i="1"/>
  <c r="Y60" i="1"/>
  <c r="P60" i="1"/>
  <c r="N60" i="1"/>
  <c r="T60" i="1" s="1"/>
  <c r="M60" i="1"/>
  <c r="R60" i="1" s="1"/>
  <c r="U60" i="1" s="1"/>
  <c r="Y59" i="1"/>
  <c r="P59" i="1"/>
  <c r="N59" i="1"/>
  <c r="T59" i="1" s="1"/>
  <c r="M59" i="1"/>
  <c r="R59" i="1" s="1"/>
  <c r="Y58" i="1"/>
  <c r="P58" i="1"/>
  <c r="N58" i="1"/>
  <c r="T58" i="1" s="1"/>
  <c r="M58" i="1"/>
  <c r="R58" i="1" s="1"/>
  <c r="Y57" i="1"/>
  <c r="P57" i="1"/>
  <c r="N57" i="1"/>
  <c r="T57" i="1" s="1"/>
  <c r="M57" i="1"/>
  <c r="R57" i="1" s="1"/>
  <c r="Y56" i="1"/>
  <c r="P56" i="1"/>
  <c r="N56" i="1"/>
  <c r="T56" i="1" s="1"/>
  <c r="M56" i="1"/>
  <c r="R56" i="1" s="1"/>
  <c r="Y55" i="1"/>
  <c r="P55" i="1"/>
  <c r="N55" i="1"/>
  <c r="T55" i="1" s="1"/>
  <c r="M55" i="1"/>
  <c r="R55" i="1" s="1"/>
  <c r="Y54" i="1"/>
  <c r="P54" i="1"/>
  <c r="N54" i="1"/>
  <c r="T54" i="1" s="1"/>
  <c r="M54" i="1"/>
  <c r="R54" i="1" s="1"/>
  <c r="Y53" i="1"/>
  <c r="P53" i="1"/>
  <c r="N53" i="1"/>
  <c r="T53" i="1" s="1"/>
  <c r="M53" i="1"/>
  <c r="R53" i="1" s="1"/>
  <c r="Y52" i="1"/>
  <c r="P52" i="1"/>
  <c r="N52" i="1"/>
  <c r="T52" i="1" s="1"/>
  <c r="M52" i="1"/>
  <c r="R52" i="1" s="1"/>
  <c r="Y51" i="1"/>
  <c r="P51" i="1"/>
  <c r="N51" i="1"/>
  <c r="T51" i="1" s="1"/>
  <c r="M51" i="1"/>
  <c r="R51" i="1" s="1"/>
  <c r="Y50" i="1"/>
  <c r="P50" i="1"/>
  <c r="N50" i="1"/>
  <c r="T50" i="1" s="1"/>
  <c r="M50" i="1"/>
  <c r="R50" i="1" s="1"/>
  <c r="Y49" i="1"/>
  <c r="P49" i="1"/>
  <c r="N49" i="1"/>
  <c r="T49" i="1" s="1"/>
  <c r="M49" i="1"/>
  <c r="R49" i="1" s="1"/>
  <c r="Y48" i="1"/>
  <c r="P48" i="1"/>
  <c r="N48" i="1"/>
  <c r="T48" i="1" s="1"/>
  <c r="M48" i="1"/>
  <c r="R48" i="1" s="1"/>
  <c r="U59" i="1" l="1"/>
  <c r="W59" i="1" s="1"/>
  <c r="U57" i="1"/>
  <c r="V57" i="1" s="1"/>
  <c r="U61" i="1"/>
  <c r="W61" i="1" s="1"/>
  <c r="U53" i="1"/>
  <c r="V53" i="1" s="1"/>
  <c r="U58" i="1"/>
  <c r="V58" i="1" s="1"/>
  <c r="U50" i="1"/>
  <c r="W50" i="1" s="1"/>
  <c r="U49" i="1"/>
  <c r="W49" i="1" s="1"/>
  <c r="U62" i="1"/>
  <c r="W62" i="1" s="1"/>
  <c r="U54" i="1"/>
  <c r="W54" i="1" s="1"/>
  <c r="W60" i="1"/>
  <c r="V60" i="1"/>
  <c r="U56" i="1"/>
  <c r="U51" i="1"/>
  <c r="U48" i="1"/>
  <c r="W57" i="1"/>
  <c r="U55" i="1"/>
  <c r="U52" i="1"/>
  <c r="Y47" i="1"/>
  <c r="T47" i="1"/>
  <c r="P47" i="1"/>
  <c r="M47" i="1"/>
  <c r="R47" i="1" s="1"/>
  <c r="AA60" i="1" l="1"/>
  <c r="AA57" i="1"/>
  <c r="W53" i="1"/>
  <c r="AA53" i="1" s="1"/>
  <c r="V59" i="1"/>
  <c r="AA59" i="1" s="1"/>
  <c r="V61" i="1"/>
  <c r="AA61" i="1" s="1"/>
  <c r="V49" i="1"/>
  <c r="AA49" i="1" s="1"/>
  <c r="V50" i="1"/>
  <c r="AA50" i="1" s="1"/>
  <c r="V54" i="1"/>
  <c r="AA54" i="1" s="1"/>
  <c r="V62" i="1"/>
  <c r="AA62" i="1" s="1"/>
  <c r="W58" i="1"/>
  <c r="AA58" i="1" s="1"/>
  <c r="U47" i="1"/>
  <c r="W48" i="1"/>
  <c r="V48" i="1"/>
  <c r="W51" i="1"/>
  <c r="V51" i="1"/>
  <c r="AA51" i="1" s="1"/>
  <c r="W52" i="1"/>
  <c r="V52" i="1"/>
  <c r="W55" i="1"/>
  <c r="V55" i="1"/>
  <c r="V56" i="1"/>
  <c r="W56" i="1"/>
  <c r="Y46" i="1"/>
  <c r="T46" i="1"/>
  <c r="P46" i="1"/>
  <c r="M46" i="1"/>
  <c r="Y45" i="1"/>
  <c r="T45" i="1"/>
  <c r="P45" i="1"/>
  <c r="M45" i="1"/>
  <c r="Y44" i="1"/>
  <c r="T44" i="1"/>
  <c r="P44" i="1"/>
  <c r="M44" i="1"/>
  <c r="Y43" i="1"/>
  <c r="T43" i="1"/>
  <c r="P43" i="1"/>
  <c r="M43" i="1"/>
  <c r="Y42" i="1"/>
  <c r="T42" i="1"/>
  <c r="P42" i="1"/>
  <c r="M42" i="1"/>
  <c r="Y41" i="1"/>
  <c r="T41" i="1"/>
  <c r="P41" i="1"/>
  <c r="M41" i="1"/>
  <c r="Y40" i="1"/>
  <c r="T40" i="1"/>
  <c r="P40" i="1"/>
  <c r="M40" i="1"/>
  <c r="Y39" i="1"/>
  <c r="T39" i="1"/>
  <c r="P39" i="1"/>
  <c r="M39" i="1"/>
  <c r="Y38" i="1"/>
  <c r="T38" i="1"/>
  <c r="P38" i="1"/>
  <c r="M38" i="1"/>
  <c r="Y37" i="1"/>
  <c r="T37" i="1"/>
  <c r="P37" i="1"/>
  <c r="M37" i="1"/>
  <c r="Y36" i="1"/>
  <c r="T36" i="1"/>
  <c r="P36" i="1"/>
  <c r="M36" i="1"/>
  <c r="Y35" i="1"/>
  <c r="T35" i="1"/>
  <c r="P35" i="1"/>
  <c r="M35" i="1"/>
  <c r="Y34" i="1"/>
  <c r="T34" i="1"/>
  <c r="P34" i="1"/>
  <c r="M34" i="1"/>
  <c r="Y33" i="1"/>
  <c r="T33" i="1"/>
  <c r="P33" i="1"/>
  <c r="M33" i="1"/>
  <c r="Y32" i="1"/>
  <c r="T32" i="1"/>
  <c r="P32" i="1"/>
  <c r="M32" i="1"/>
  <c r="Y31" i="1"/>
  <c r="T31" i="1"/>
  <c r="P31" i="1"/>
  <c r="M31" i="1"/>
  <c r="Y30" i="1"/>
  <c r="T30" i="1"/>
  <c r="P30" i="1"/>
  <c r="Y29" i="1"/>
  <c r="T29" i="1"/>
  <c r="P29" i="1"/>
  <c r="M29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M28" i="1"/>
  <c r="AA52" i="1" l="1"/>
  <c r="AA56" i="1"/>
  <c r="AA55" i="1"/>
  <c r="V47" i="1"/>
  <c r="W47" i="1"/>
  <c r="AA48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2" i="1"/>
  <c r="R23" i="1"/>
  <c r="R24" i="1"/>
  <c r="R25" i="1"/>
  <c r="R26" i="1"/>
  <c r="R27" i="1"/>
  <c r="R28" i="1"/>
  <c r="R21" i="1"/>
  <c r="T22" i="1"/>
  <c r="T23" i="1"/>
  <c r="T24" i="1"/>
  <c r="T25" i="1"/>
  <c r="T26" i="1"/>
  <c r="T27" i="1"/>
  <c r="T28" i="1"/>
  <c r="T21" i="1"/>
  <c r="U22" i="1"/>
  <c r="V22" i="1" s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AA47" i="1" l="1"/>
  <c r="U23" i="1"/>
  <c r="W23" i="1" s="1"/>
  <c r="U26" i="1"/>
  <c r="V26" i="1" s="1"/>
  <c r="U28" i="1"/>
  <c r="U24" i="1"/>
  <c r="W24" i="1" s="1"/>
  <c r="U21" i="1"/>
  <c r="V21" i="1" s="1"/>
  <c r="V24" i="1"/>
  <c r="U27" i="1"/>
  <c r="V27" i="1" s="1"/>
  <c r="W28" i="1"/>
  <c r="V28" i="1"/>
  <c r="AA28" i="1" s="1"/>
  <c r="W22" i="1"/>
  <c r="AA22" i="1" s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5" i="1"/>
  <c r="W25" i="1" s="1"/>
  <c r="W21" i="1"/>
  <c r="U9" i="1"/>
  <c r="U10" i="1"/>
  <c r="U11" i="1"/>
  <c r="U13" i="1"/>
  <c r="U14" i="1"/>
  <c r="U15" i="1"/>
  <c r="U17" i="1"/>
  <c r="U18" i="1"/>
  <c r="U19" i="1"/>
  <c r="U20" i="1"/>
  <c r="U12" i="1"/>
  <c r="U16" i="1"/>
  <c r="U4" i="1"/>
  <c r="U5" i="1"/>
  <c r="U6" i="1"/>
  <c r="U7" i="1"/>
  <c r="U8" i="1"/>
  <c r="U63" i="1" l="1"/>
  <c r="V23" i="1"/>
  <c r="AA23" i="1" s="1"/>
  <c r="W27" i="1"/>
  <c r="W26" i="1"/>
  <c r="AA26" i="1" s="1"/>
  <c r="AA24" i="1"/>
  <c r="V25" i="1"/>
  <c r="AA25" i="1" s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AA27" i="1"/>
  <c r="AA21" i="1"/>
  <c r="W4" i="1"/>
  <c r="V4" i="1"/>
  <c r="W5" i="1"/>
  <c r="V5" i="1"/>
  <c r="W9" i="1"/>
  <c r="V9" i="1"/>
  <c r="W10" i="1"/>
  <c r="V10" i="1"/>
  <c r="V11" i="1"/>
  <c r="W11" i="1"/>
  <c r="V13" i="1"/>
  <c r="W13" i="1"/>
  <c r="V14" i="1"/>
  <c r="W14" i="1"/>
  <c r="V15" i="1"/>
  <c r="W15" i="1"/>
  <c r="V17" i="1"/>
  <c r="W17" i="1"/>
  <c r="W18" i="1"/>
  <c r="V18" i="1"/>
  <c r="V19" i="1"/>
  <c r="W19" i="1"/>
  <c r="W20" i="1"/>
  <c r="V20" i="1"/>
  <c r="V12" i="1"/>
  <c r="W12" i="1"/>
  <c r="W6" i="1"/>
  <c r="V6" i="1"/>
  <c r="W7" i="1"/>
  <c r="V7" i="1"/>
  <c r="W8" i="1"/>
  <c r="V8" i="1"/>
  <c r="V16" i="1"/>
  <c r="W16" i="1"/>
  <c r="V63" i="1" l="1"/>
  <c r="W63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4" i="1"/>
  <c r="AA5" i="1"/>
  <c r="AA10" i="1"/>
  <c r="AA20" i="1"/>
  <c r="AA6" i="1"/>
  <c r="AA7" i="1"/>
  <c r="AA8" i="1"/>
  <c r="AA14" i="1"/>
  <c r="AA12" i="1"/>
  <c r="AA17" i="1"/>
  <c r="AA9" i="1"/>
  <c r="AA16" i="1"/>
  <c r="AA13" i="1"/>
  <c r="AA18" i="1"/>
  <c r="AA19" i="1"/>
  <c r="AA11" i="1"/>
  <c r="AA15" i="1"/>
</calcChain>
</file>

<file path=xl/sharedStrings.xml><?xml version="1.0" encoding="utf-8"?>
<sst xmlns="http://schemas.openxmlformats.org/spreadsheetml/2006/main" count="445" uniqueCount="289">
  <si>
    <t>S/N</t>
  </si>
  <si>
    <t>EMPLOYEE NUMBER</t>
  </si>
  <si>
    <t>NAMES</t>
  </si>
  <si>
    <t>NRC</t>
  </si>
  <si>
    <t>JOB TITTLE</t>
  </si>
  <si>
    <t>SITE</t>
  </si>
  <si>
    <t>PHONE NUMBER</t>
  </si>
  <si>
    <t>EMAIL</t>
  </si>
  <si>
    <t>ACCOUNT NUMBER</t>
  </si>
  <si>
    <t>SORT CODE</t>
  </si>
  <si>
    <t>RATE/HRS</t>
  </si>
  <si>
    <t>NORMAL WORKING HRS</t>
  </si>
  <si>
    <t>OVER TIME RATE</t>
  </si>
  <si>
    <t>HOLIDAY OVERTIME RATE</t>
  </si>
  <si>
    <t>PRESENT DAYS</t>
  </si>
  <si>
    <t>PRESENT AMOUNT</t>
  </si>
  <si>
    <t>OVERT TIME</t>
  </si>
  <si>
    <t>OVER TIME AMOUNT</t>
  </si>
  <si>
    <t>HOLIDAY OVER TIME</t>
  </si>
  <si>
    <t>HOLIDAY OVER TIME AMOUNT</t>
  </si>
  <si>
    <t>GROSS SALARY</t>
  </si>
  <si>
    <t>NHIMA</t>
  </si>
  <si>
    <t>NAPSA</t>
  </si>
  <si>
    <t>SOFT LOAN</t>
  </si>
  <si>
    <t>SOFT LOAN DEDUCTION</t>
  </si>
  <si>
    <t>OTHER DEDUCTION</t>
  </si>
  <si>
    <t>NET PAY</t>
  </si>
  <si>
    <t>PEARSON MUSONDA</t>
  </si>
  <si>
    <t>OWEN YOTAMU</t>
  </si>
  <si>
    <t>RONALD KACHUSHA</t>
  </si>
  <si>
    <t>EMMANUEL NGULUBE</t>
  </si>
  <si>
    <t>FELIX NGULUBE</t>
  </si>
  <si>
    <t>LUKUNDO MUSUKUMA</t>
  </si>
  <si>
    <t>KELVIS VISWAMO</t>
  </si>
  <si>
    <t>BROWN MUTEMBO</t>
  </si>
  <si>
    <t>ALINANI SIMBEYE</t>
  </si>
  <si>
    <t>JEFFITON CHILAMBWE</t>
  </si>
  <si>
    <t>ENOCK MUSONDA</t>
  </si>
  <si>
    <t>KELVIN KANYIKA</t>
  </si>
  <si>
    <t>JAMES CHIPISA</t>
  </si>
  <si>
    <t>SAMUEL MUTALE</t>
  </si>
  <si>
    <t>DERRICK MAMBWE</t>
  </si>
  <si>
    <t>GODWIN KASHALA</t>
  </si>
  <si>
    <t>FRANK M CHUSHI</t>
  </si>
  <si>
    <t>JOHN CHOLA</t>
  </si>
  <si>
    <t>GEOFREY BWALE</t>
  </si>
  <si>
    <t>LAVINSON CHAMA</t>
  </si>
  <si>
    <t>GEOFREY MULENGA</t>
  </si>
  <si>
    <t>TASILA BANDA</t>
  </si>
  <si>
    <t>JOSEPH MALULU</t>
  </si>
  <si>
    <t>SHADRICK CHITENGI</t>
  </si>
  <si>
    <t>NANCY MUSUKWA</t>
  </si>
  <si>
    <t>320902/66/1</t>
  </si>
  <si>
    <t>288616/66/1</t>
  </si>
  <si>
    <t>284711/66/1</t>
  </si>
  <si>
    <t>338749/24/1</t>
  </si>
  <si>
    <t>669946/67/1</t>
  </si>
  <si>
    <t>359631/66/1</t>
  </si>
  <si>
    <t>169602/22/1</t>
  </si>
  <si>
    <t>364722/66/1</t>
  </si>
  <si>
    <t>411276/66/1</t>
  </si>
  <si>
    <t>405012/66/1</t>
  </si>
  <si>
    <t>270825/32/1</t>
  </si>
  <si>
    <t>264961/63/1</t>
  </si>
  <si>
    <t>383589/66/1</t>
  </si>
  <si>
    <t>281464/66/1</t>
  </si>
  <si>
    <t>199829/31/1</t>
  </si>
  <si>
    <t>350691/64/1</t>
  </si>
  <si>
    <t>340142/66/1</t>
  </si>
  <si>
    <t>270177/66/1</t>
  </si>
  <si>
    <t>291631/66/1</t>
  </si>
  <si>
    <t>310440/66/1</t>
  </si>
  <si>
    <t>303863/66/1</t>
  </si>
  <si>
    <t>373274/66/1</t>
  </si>
  <si>
    <t>326782/66/1</t>
  </si>
  <si>
    <t>501868/22/1</t>
  </si>
  <si>
    <t>315125/66/1</t>
  </si>
  <si>
    <t>SCAFFOLDER</t>
  </si>
  <si>
    <t>SAFETY OFFICER</t>
  </si>
  <si>
    <t>WORKMAN</t>
  </si>
  <si>
    <t>OPERATOR</t>
  </si>
  <si>
    <t>RIGGER</t>
  </si>
  <si>
    <t>BRICKLAYER</t>
  </si>
  <si>
    <t>STEEL FIXER</t>
  </si>
  <si>
    <t>MASON</t>
  </si>
  <si>
    <t>CARPENTER</t>
  </si>
  <si>
    <t>TIME KEEPER</t>
  </si>
  <si>
    <t>BOILER MAKER</t>
  </si>
  <si>
    <t>TM/TIPPER DRIVER</t>
  </si>
  <si>
    <t>MUFULIRA</t>
  </si>
  <si>
    <t>MES0040</t>
  </si>
  <si>
    <t>MES0041</t>
  </si>
  <si>
    <t>MES0042</t>
  </si>
  <si>
    <t>MES0043</t>
  </si>
  <si>
    <t>MES0044</t>
  </si>
  <si>
    <t>MES0045</t>
  </si>
  <si>
    <t>MES0046</t>
  </si>
  <si>
    <t>MES0047</t>
  </si>
  <si>
    <t>MES0048</t>
  </si>
  <si>
    <t>MES0049</t>
  </si>
  <si>
    <t>MES0050</t>
  </si>
  <si>
    <t>MES0051</t>
  </si>
  <si>
    <t>MES0052</t>
  </si>
  <si>
    <t>MES0053</t>
  </si>
  <si>
    <t>MES0054</t>
  </si>
  <si>
    <t>MES0055</t>
  </si>
  <si>
    <t>MES0056</t>
  </si>
  <si>
    <t>MES0057</t>
  </si>
  <si>
    <t>MES0058</t>
  </si>
  <si>
    <t>MES0059</t>
  </si>
  <si>
    <t>MES0060</t>
  </si>
  <si>
    <t>MES0061</t>
  </si>
  <si>
    <t>MES0062</t>
  </si>
  <si>
    <t>MES0063</t>
  </si>
  <si>
    <t>MES0064</t>
  </si>
  <si>
    <t>0651871923201</t>
  </si>
  <si>
    <t>0651810613201</t>
  </si>
  <si>
    <t>0651876723201</t>
  </si>
  <si>
    <t>0651810583201</t>
  </si>
  <si>
    <t>0651810523201</t>
  </si>
  <si>
    <t>0081010011555</t>
  </si>
  <si>
    <t>1723502100286</t>
  </si>
  <si>
    <t>0651810623201</t>
  </si>
  <si>
    <t>0651810603201</t>
  </si>
  <si>
    <t>0651810563201</t>
  </si>
  <si>
    <t>0651810553201</t>
  </si>
  <si>
    <t>0651810653201</t>
  </si>
  <si>
    <t>0651810633201</t>
  </si>
  <si>
    <t>0651834533201</t>
  </si>
  <si>
    <t>0651876703201</t>
  </si>
  <si>
    <t>9130005932193</t>
  </si>
  <si>
    <t>0651834433201</t>
  </si>
  <si>
    <t>7502576100160</t>
  </si>
  <si>
    <t>0136593576028</t>
  </si>
  <si>
    <t>510565</t>
  </si>
  <si>
    <t>090208</t>
  </si>
  <si>
    <t>010245</t>
  </si>
  <si>
    <t>040514</t>
  </si>
  <si>
    <t>350558</t>
  </si>
  <si>
    <t>MES0014</t>
  </si>
  <si>
    <t>DANNY MULENGA</t>
  </si>
  <si>
    <t>319628/66/1</t>
  </si>
  <si>
    <t>63059667601</t>
  </si>
  <si>
    <t>260006</t>
  </si>
  <si>
    <t>MES0015</t>
  </si>
  <si>
    <t>EMMANUEL CHIPASHA</t>
  </si>
  <si>
    <t>403074/16/1</t>
  </si>
  <si>
    <t>9130007664609</t>
  </si>
  <si>
    <t>MES0016</t>
  </si>
  <si>
    <t>SIMON KASONGO</t>
  </si>
  <si>
    <t>103615/37/1</t>
  </si>
  <si>
    <t>0135986568013</t>
  </si>
  <si>
    <t>MES0017</t>
  </si>
  <si>
    <t>BIZWELL SICHALWE</t>
  </si>
  <si>
    <t>199683/66/1</t>
  </si>
  <si>
    <t>0135994560010</t>
  </si>
  <si>
    <t>MES0018</t>
  </si>
  <si>
    <t>MISHECK BANDA</t>
  </si>
  <si>
    <t>333280/66/1</t>
  </si>
  <si>
    <t>63143329810</t>
  </si>
  <si>
    <t>MES0019</t>
  </si>
  <si>
    <t>EVANS KONALA</t>
  </si>
  <si>
    <t>340632/66/1</t>
  </si>
  <si>
    <t>ASSISTANT</t>
  </si>
  <si>
    <t>0136029333012</t>
  </si>
  <si>
    <t>MES0020</t>
  </si>
  <si>
    <t>KENNETH MKANDAWIRE</t>
  </si>
  <si>
    <t>277926/67/1</t>
  </si>
  <si>
    <t>STORE MAN</t>
  </si>
  <si>
    <t>63009363522</t>
  </si>
  <si>
    <t>MES0021</t>
  </si>
  <si>
    <t>GIVEN CHIKONDE</t>
  </si>
  <si>
    <t>385276/66/1</t>
  </si>
  <si>
    <t>9130007935041</t>
  </si>
  <si>
    <t>MES0022</t>
  </si>
  <si>
    <t>CHALWE CHIBUYE</t>
  </si>
  <si>
    <t>350750/66/1</t>
  </si>
  <si>
    <t>FITTER</t>
  </si>
  <si>
    <t>0136425002018</t>
  </si>
  <si>
    <t>MES0023</t>
  </si>
  <si>
    <t>GILBERT LUNGU</t>
  </si>
  <si>
    <t>287225/66/1</t>
  </si>
  <si>
    <t>0091010002639</t>
  </si>
  <si>
    <t>MES0031</t>
  </si>
  <si>
    <t>KELVIN CHISOPA</t>
  </si>
  <si>
    <t>296242/66/1</t>
  </si>
  <si>
    <t>0651877003201</t>
  </si>
  <si>
    <t>MES0024</t>
  </si>
  <si>
    <t>EDWARD NKANDU</t>
  </si>
  <si>
    <t>113064/45/1</t>
  </si>
  <si>
    <t>MECHANIC</t>
  </si>
  <si>
    <t>0651712773201</t>
  </si>
  <si>
    <t>MES0025</t>
  </si>
  <si>
    <t>EDINA JERE</t>
  </si>
  <si>
    <t>376572/66/1</t>
  </si>
  <si>
    <t>0651810593201</t>
  </si>
  <si>
    <t>MES0026</t>
  </si>
  <si>
    <t>STEPHAN NYIRONGO</t>
  </si>
  <si>
    <t>520626/61/1</t>
  </si>
  <si>
    <t>0091010002649</t>
  </si>
  <si>
    <t>MES0027</t>
  </si>
  <si>
    <t>GREGORY CHABU</t>
  </si>
  <si>
    <t>445372/67/1</t>
  </si>
  <si>
    <t>9130007937370</t>
  </si>
  <si>
    <t>MES0028</t>
  </si>
  <si>
    <t>RODWELL SIMWANZA</t>
  </si>
  <si>
    <t>293671/66/1</t>
  </si>
  <si>
    <t>0136603547029</t>
  </si>
  <si>
    <t>MES0029</t>
  </si>
  <si>
    <t>FRANCIS MUMBA</t>
  </si>
  <si>
    <t>341230/66/1</t>
  </si>
  <si>
    <t>0136596058028</t>
  </si>
  <si>
    <t>MES0030</t>
  </si>
  <si>
    <t>HARRISON NDOLO</t>
  </si>
  <si>
    <t>320037/66/1</t>
  </si>
  <si>
    <t>ELECTRICIAN</t>
  </si>
  <si>
    <t>0091010003927</t>
  </si>
  <si>
    <t xml:space="preserve">LUCKSON KAMBALE </t>
  </si>
  <si>
    <t>355479/61/1</t>
  </si>
  <si>
    <t>MES0001</t>
  </si>
  <si>
    <t>ASSITANT HR</t>
  </si>
  <si>
    <t>KITWE</t>
  </si>
  <si>
    <t>0967654039</t>
  </si>
  <si>
    <t>ROBERT LUNDWE</t>
  </si>
  <si>
    <t>MES0002</t>
  </si>
  <si>
    <t>0778390801</t>
  </si>
  <si>
    <t>GIFT KUPANDA</t>
  </si>
  <si>
    <t>MES0003</t>
  </si>
  <si>
    <t>MULTI SKILLED OPT</t>
  </si>
  <si>
    <t>0760867512</t>
  </si>
  <si>
    <t>JOSHUA MWANGO</t>
  </si>
  <si>
    <t>MES0004</t>
  </si>
  <si>
    <t>0773996154</t>
  </si>
  <si>
    <t>ALINANI SICHILIMA</t>
  </si>
  <si>
    <t>MES0005</t>
  </si>
  <si>
    <t>TIPPER DRIVER</t>
  </si>
  <si>
    <t>0772132804</t>
  </si>
  <si>
    <t>HENRY TULUMBA</t>
  </si>
  <si>
    <t>MES0006</t>
  </si>
  <si>
    <t>0962698209</t>
  </si>
  <si>
    <t>CHRISTOPHER BWALYA</t>
  </si>
  <si>
    <t>MES0007</t>
  </si>
  <si>
    <t>0969362810</t>
  </si>
  <si>
    <t>LAWRENCE KALUFYANYA</t>
  </si>
  <si>
    <t>MES0008</t>
  </si>
  <si>
    <t>0974834114</t>
  </si>
  <si>
    <t>ALEX KATEBE</t>
  </si>
  <si>
    <t>MES0009</t>
  </si>
  <si>
    <t>STORE KEEPER</t>
  </si>
  <si>
    <t>0966146104</t>
  </si>
  <si>
    <t>MATHEW SIMWANZA</t>
  </si>
  <si>
    <t>MES00010</t>
  </si>
  <si>
    <t>HELPER</t>
  </si>
  <si>
    <t>0960897685</t>
  </si>
  <si>
    <t>EZEKIEL MWANZA</t>
  </si>
  <si>
    <t>MES00011</t>
  </si>
  <si>
    <t>0767933571</t>
  </si>
  <si>
    <t>KUNDANANJI SIAME</t>
  </si>
  <si>
    <t>MES00012</t>
  </si>
  <si>
    <t>0969256463</t>
  </si>
  <si>
    <t>CHANDA CHILESHE</t>
  </si>
  <si>
    <t>MES00013</t>
  </si>
  <si>
    <t>0771618227</t>
  </si>
  <si>
    <t>BERNARD CHIPULU</t>
  </si>
  <si>
    <t>MES00014</t>
  </si>
  <si>
    <t>0772793906</t>
  </si>
  <si>
    <t>ALBERT MATETE</t>
  </si>
  <si>
    <t>MES00015</t>
  </si>
  <si>
    <t>0965711448</t>
  </si>
  <si>
    <t>JONATHAN MUNSIMBA</t>
  </si>
  <si>
    <t>MES00016</t>
  </si>
  <si>
    <t>0571382617</t>
  </si>
  <si>
    <t>AMSL RATE</t>
  </si>
  <si>
    <t>AMSL OT RATE</t>
  </si>
  <si>
    <t>NOT AMOUNT</t>
  </si>
  <si>
    <t>HOT AMOUNT</t>
  </si>
  <si>
    <t>TOTAL AMOUNT</t>
  </si>
  <si>
    <t>Company Cash Flow</t>
  </si>
  <si>
    <t>Kitwe Invoice</t>
  </si>
  <si>
    <t>Sub Total</t>
  </si>
  <si>
    <t>Vat @ 16%</t>
  </si>
  <si>
    <t>Total</t>
  </si>
  <si>
    <t>Mufulira Smelter</t>
  </si>
  <si>
    <t xml:space="preserve">Mufulira Mining </t>
  </si>
  <si>
    <t>Chingola</t>
  </si>
  <si>
    <t>Total Sub Monthly Acumulated:</t>
  </si>
  <si>
    <t>Company Profit:</t>
  </si>
  <si>
    <t>Employee Gross Pay: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</si>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</sst>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charset val="134"/>
      <scheme val="minor"/>
    </font>
    <font>
      <b/>
      <sz val="11"/>
      <color indexed="8"/>
      <name val="Aptos Narrow"/>
      <scheme val="minor"/>
    </font>
    <font>
      <b/>
      <sz val="10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1" fillId="2" borderId="1" xfId="0" applyFont="1" applyFill="1" applyBorder="1"/>
    <xf numFmtId="164" fontId="0" fillId="3" borderId="0" xfId="0" applyNumberFormat="1" applyFill="1" applyBorder="1"/>
    <xf numFmtId="164" fontId="0" fillId="0" borderId="0" xfId="0" applyNumberFormat="1" applyBorder="1"/>
    <xf numFmtId="0" fontId="3" fillId="3" borderId="0" xfId="0" applyFont="1" applyFill="1"/>
    <xf numFmtId="0" fontId="3" fillId="0" borderId="0" xfId="0" applyFont="1"/>
    <xf numFmtId="2" fontId="4" fillId="0" borderId="0" xfId="0" applyNumberFormat="1" applyFont="1" applyBorder="1" applyAlignment="1">
      <alignment horizontal="center" vertical="center"/>
    </xf>
    <xf numFmtId="0" fontId="1" fillId="2" borderId="0" xfId="0" applyFont="1" applyFill="1" applyBorder="1"/>
    <xf numFmtId="0" fontId="0" fillId="0" borderId="0" xfId="0" quotePrefix="1" applyBorder="1"/>
    <xf numFmtId="0" fontId="0" fillId="3" borderId="0" xfId="0" quotePrefix="1" applyFill="1" applyBorder="1"/>
    <xf numFmtId="0" fontId="0" fillId="0" borderId="0" xfId="0" applyFill="1" applyBorder="1"/>
    <xf numFmtId="0" fontId="3" fillId="0" borderId="0" xfId="0" applyFont="1" applyFill="1" applyBorder="1"/>
    <xf numFmtId="0" fontId="0" fillId="4" borderId="0" xfId="0" applyFill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75"/>
  <sheetViews>
    <sheetView tabSelected="1" topLeftCell="U54" workbookViewId="0">
      <selection activeCell="AE72" sqref="AE72"/>
    </sheetView>
  </sheetViews>
  <sheetFormatPr defaultRowHeight="14"/>
  <cols>
    <col min="1" max="1" width="3.08203125" customWidth="1"/>
    <col min="2" max="2" width="18.6640625" customWidth="1"/>
    <col min="3" max="3" width="24.08203125" customWidth="1"/>
    <col min="4" max="4" width="11" bestFit="1" customWidth="1"/>
    <col min="5" max="5" width="16.08203125" bestFit="1" customWidth="1"/>
    <col min="6" max="6" width="9.4140625" bestFit="1" customWidth="1"/>
    <col min="7" max="7" width="15.4140625" bestFit="1" customWidth="1"/>
    <col min="8" max="8" width="16.58203125" bestFit="1" customWidth="1"/>
    <col min="9" max="9" width="17.75" bestFit="1" customWidth="1"/>
    <col min="10" max="10" width="11.25" bestFit="1" customWidth="1"/>
    <col min="11" max="11" width="9.75" bestFit="1" customWidth="1"/>
    <col min="12" max="12" width="22.08203125" hidden="1" customWidth="1"/>
    <col min="13" max="13" width="15.75" bestFit="1" customWidth="1"/>
    <col min="14" max="14" width="23.6640625" bestFit="1" customWidth="1"/>
    <col min="15" max="15" width="14.33203125" bestFit="1" customWidth="1"/>
    <col min="16" max="16" width="17.33203125" bestFit="1" customWidth="1"/>
    <col min="17" max="17" width="11.75" bestFit="1" customWidth="1"/>
    <col min="18" max="18" width="19" bestFit="1" customWidth="1"/>
    <col min="19" max="19" width="19.08203125" bestFit="1" customWidth="1"/>
    <col min="20" max="20" width="27.4140625" bestFit="1" customWidth="1"/>
    <col min="21" max="21" width="14.58203125" bestFit="1" customWidth="1"/>
    <col min="22" max="23" width="7" bestFit="1" customWidth="1"/>
    <col min="24" max="24" width="11" bestFit="1" customWidth="1"/>
    <col min="25" max="25" width="22" bestFit="1" customWidth="1"/>
    <col min="26" max="26" width="18" bestFit="1" customWidth="1"/>
    <col min="27" max="27" width="8.58203125" bestFit="1" customWidth="1"/>
    <col min="28" max="28" width="4.1640625" customWidth="1"/>
    <col min="29" max="29" width="9.4140625" customWidth="1"/>
    <col min="30" max="30" width="11.9140625" bestFit="1" customWidth="1"/>
    <col min="31" max="31" width="13.1640625" bestFit="1" customWidth="1"/>
    <col min="34" max="34" width="13.9140625" customWidth="1"/>
  </cols>
  <sheetData>
    <row r="3" spans="1:34" ht="14.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24</v>
      </c>
      <c r="Z3" s="10" t="s">
        <v>25</v>
      </c>
      <c r="AA3" s="10" t="s">
        <v>26</v>
      </c>
      <c r="AC3" s="4" t="s">
        <v>272</v>
      </c>
      <c r="AD3" s="4" t="s">
        <v>273</v>
      </c>
      <c r="AE3" s="4" t="s">
        <v>15</v>
      </c>
      <c r="AF3" s="4" t="s">
        <v>274</v>
      </c>
      <c r="AG3" s="4" t="s">
        <v>275</v>
      </c>
      <c r="AH3" s="4" t="s">
        <v>276</v>
      </c>
    </row>
    <row r="4" spans="1:34">
      <c r="A4" s="1">
        <v>1</v>
      </c>
      <c r="B4" s="1" t="s">
        <v>90</v>
      </c>
      <c r="C4" s="1" t="s">
        <v>27</v>
      </c>
      <c r="D4" s="1" t="s">
        <v>52</v>
      </c>
      <c r="E4" s="1" t="s">
        <v>77</v>
      </c>
      <c r="F4" s="1" t="s">
        <v>89</v>
      </c>
      <c r="G4" s="1"/>
      <c r="H4" s="1"/>
      <c r="I4" s="11" t="s">
        <v>115</v>
      </c>
      <c r="J4" s="11" t="s">
        <v>134</v>
      </c>
      <c r="K4" s="1">
        <v>13</v>
      </c>
      <c r="L4" s="1">
        <v>8</v>
      </c>
      <c r="M4" s="9">
        <f>K4*1.5</f>
        <v>19.5</v>
      </c>
      <c r="N4" s="1">
        <f>K4*2</f>
        <v>26</v>
      </c>
      <c r="O4" s="1">
        <v>22</v>
      </c>
      <c r="P4" s="1">
        <f t="shared" ref="P4:P62" si="0">K4*L4*O4</f>
        <v>2288</v>
      </c>
      <c r="Q4" s="1">
        <v>42</v>
      </c>
      <c r="R4" s="1">
        <f t="shared" ref="R4:R62" si="1">Q4*M4</f>
        <v>819</v>
      </c>
      <c r="S4" s="1">
        <v>35</v>
      </c>
      <c r="T4" s="1">
        <f t="shared" ref="T4:T62" si="2">S4*N4</f>
        <v>910</v>
      </c>
      <c r="U4" s="1">
        <f t="shared" ref="U4:U62" si="3">P4+R4+T4</f>
        <v>4017</v>
      </c>
      <c r="V4" s="1">
        <f t="shared" ref="V4:V63" si="4">U4*1%</f>
        <v>40.17</v>
      </c>
      <c r="W4" s="1">
        <f t="shared" ref="W4:W63" si="5">U4*5%</f>
        <v>200.85000000000002</v>
      </c>
      <c r="X4" s="1">
        <v>1500</v>
      </c>
      <c r="Y4" s="1">
        <f>X4*0.3+X4</f>
        <v>1950</v>
      </c>
      <c r="Z4" s="1"/>
      <c r="AA4" s="1">
        <f t="shared" ref="AA4:AA62" si="6">U4-V4-W4-Y4-Z4</f>
        <v>1825.98</v>
      </c>
      <c r="AB4" s="1"/>
      <c r="AC4" s="9">
        <v>19.5</v>
      </c>
      <c r="AD4" s="9">
        <f>AC4-2</f>
        <v>17.5</v>
      </c>
      <c r="AE4" s="1">
        <f>AC4*8*O4</f>
        <v>3432</v>
      </c>
      <c r="AF4">
        <f>AD4*1.5*Q4</f>
        <v>1102.5</v>
      </c>
      <c r="AG4">
        <f>AD4*2*S4</f>
        <v>1225</v>
      </c>
      <c r="AH4">
        <f>AE4+AF4+AG4</f>
        <v>5759.5</v>
      </c>
    </row>
    <row r="5" spans="1:34">
      <c r="A5" s="1">
        <v>2</v>
      </c>
      <c r="B5" s="1" t="s">
        <v>91</v>
      </c>
      <c r="C5" s="1" t="s">
        <v>28</v>
      </c>
      <c r="D5" s="1" t="s">
        <v>53</v>
      </c>
      <c r="E5" s="1" t="s">
        <v>77</v>
      </c>
      <c r="F5" s="1" t="s">
        <v>89</v>
      </c>
      <c r="G5" s="1"/>
      <c r="H5" s="1"/>
      <c r="I5" s="11" t="s">
        <v>116</v>
      </c>
      <c r="J5" s="11" t="s">
        <v>134</v>
      </c>
      <c r="K5" s="1">
        <v>13</v>
      </c>
      <c r="L5" s="1">
        <v>8</v>
      </c>
      <c r="M5" s="9">
        <f t="shared" ref="M5:M27" si="7">K5*1.5</f>
        <v>19.5</v>
      </c>
      <c r="N5" s="1">
        <f t="shared" ref="N5:N28" si="8">K5*2</f>
        <v>26</v>
      </c>
      <c r="O5" s="1">
        <v>21</v>
      </c>
      <c r="P5" s="1">
        <f t="shared" si="0"/>
        <v>2184</v>
      </c>
      <c r="Q5" s="1">
        <v>34</v>
      </c>
      <c r="R5" s="1">
        <f t="shared" si="1"/>
        <v>663</v>
      </c>
      <c r="S5" s="1">
        <v>19</v>
      </c>
      <c r="T5" s="1">
        <f t="shared" si="2"/>
        <v>494</v>
      </c>
      <c r="U5" s="1">
        <f t="shared" si="3"/>
        <v>3341</v>
      </c>
      <c r="V5" s="1">
        <f t="shared" si="4"/>
        <v>33.410000000000004</v>
      </c>
      <c r="W5" s="1">
        <f t="shared" si="5"/>
        <v>167.05</v>
      </c>
      <c r="X5" s="1">
        <v>500</v>
      </c>
      <c r="Y5" s="1">
        <f t="shared" ref="Y5:Y62" si="9">X5*0.3+X5</f>
        <v>650</v>
      </c>
      <c r="Z5" s="1"/>
      <c r="AA5" s="1">
        <f t="shared" si="6"/>
        <v>2490.54</v>
      </c>
      <c r="AB5" s="1"/>
      <c r="AC5" s="9">
        <v>19.5</v>
      </c>
      <c r="AD5" s="9">
        <f t="shared" ref="AD5:AD27" si="10">AC5-2</f>
        <v>17.5</v>
      </c>
      <c r="AE5" s="1">
        <f t="shared" ref="AE5:AE62" si="11">AC5*8*O5</f>
        <v>3276</v>
      </c>
      <c r="AF5">
        <f t="shared" ref="AF5:AF62" si="12">AD5*1.5*Q5</f>
        <v>892.5</v>
      </c>
      <c r="AG5">
        <f t="shared" ref="AG5:AG62" si="13">AD5*2*S5</f>
        <v>665</v>
      </c>
      <c r="AH5">
        <f t="shared" ref="AH5:AH62" si="14">AE5+AF5+AG5</f>
        <v>4833.5</v>
      </c>
    </row>
    <row r="6" spans="1:34">
      <c r="A6" s="1">
        <v>3</v>
      </c>
      <c r="B6" s="1" t="s">
        <v>92</v>
      </c>
      <c r="C6" s="1" t="s">
        <v>29</v>
      </c>
      <c r="D6" s="1" t="s">
        <v>54</v>
      </c>
      <c r="E6" s="1" t="s">
        <v>78</v>
      </c>
      <c r="F6" s="1" t="s">
        <v>89</v>
      </c>
      <c r="G6" s="1"/>
      <c r="H6" s="1"/>
      <c r="I6" s="11" t="s">
        <v>117</v>
      </c>
      <c r="J6" s="11" t="s">
        <v>134</v>
      </c>
      <c r="K6" s="1">
        <v>18</v>
      </c>
      <c r="L6" s="1">
        <v>8</v>
      </c>
      <c r="M6" s="9">
        <f t="shared" si="7"/>
        <v>27</v>
      </c>
      <c r="N6" s="1">
        <f t="shared" si="8"/>
        <v>36</v>
      </c>
      <c r="O6" s="1">
        <v>14</v>
      </c>
      <c r="P6" s="1">
        <f t="shared" si="0"/>
        <v>2016</v>
      </c>
      <c r="Q6" s="1">
        <v>28</v>
      </c>
      <c r="R6" s="1">
        <f t="shared" si="1"/>
        <v>756</v>
      </c>
      <c r="S6" s="1">
        <v>0</v>
      </c>
      <c r="T6" s="1">
        <f t="shared" si="2"/>
        <v>0</v>
      </c>
      <c r="U6" s="1">
        <f t="shared" si="3"/>
        <v>2772</v>
      </c>
      <c r="V6" s="1">
        <f t="shared" si="4"/>
        <v>27.72</v>
      </c>
      <c r="W6" s="1">
        <f t="shared" si="5"/>
        <v>138.6</v>
      </c>
      <c r="X6" s="1">
        <v>1500</v>
      </c>
      <c r="Y6" s="1">
        <f t="shared" si="9"/>
        <v>1950</v>
      </c>
      <c r="Z6" s="1"/>
      <c r="AA6" s="1">
        <f t="shared" si="6"/>
        <v>655.68000000000029</v>
      </c>
      <c r="AB6" s="1"/>
      <c r="AC6" s="9">
        <v>24</v>
      </c>
      <c r="AD6" s="9">
        <f t="shared" si="10"/>
        <v>22</v>
      </c>
      <c r="AE6" s="1">
        <f t="shared" si="11"/>
        <v>2688</v>
      </c>
      <c r="AF6">
        <f t="shared" si="12"/>
        <v>924</v>
      </c>
      <c r="AG6">
        <f t="shared" si="13"/>
        <v>0</v>
      </c>
      <c r="AH6">
        <f t="shared" si="14"/>
        <v>3612</v>
      </c>
    </row>
    <row r="7" spans="1:34">
      <c r="A7" s="1">
        <v>4</v>
      </c>
      <c r="B7" s="1" t="s">
        <v>93</v>
      </c>
      <c r="C7" s="1" t="s">
        <v>30</v>
      </c>
      <c r="D7" s="1" t="s">
        <v>55</v>
      </c>
      <c r="E7" s="1" t="s">
        <v>79</v>
      </c>
      <c r="F7" s="1" t="s">
        <v>89</v>
      </c>
      <c r="G7" s="1"/>
      <c r="H7" s="1"/>
      <c r="I7" s="11" t="s">
        <v>118</v>
      </c>
      <c r="J7" s="11" t="s">
        <v>134</v>
      </c>
      <c r="K7" s="1">
        <v>11</v>
      </c>
      <c r="L7" s="1">
        <v>8</v>
      </c>
      <c r="M7" s="9">
        <f t="shared" si="7"/>
        <v>16.5</v>
      </c>
      <c r="N7" s="1">
        <f t="shared" si="8"/>
        <v>22</v>
      </c>
      <c r="O7" s="1">
        <v>15</v>
      </c>
      <c r="P7" s="1">
        <f t="shared" si="0"/>
        <v>1320</v>
      </c>
      <c r="Q7" s="1">
        <v>45</v>
      </c>
      <c r="R7" s="1">
        <f t="shared" si="1"/>
        <v>742.5</v>
      </c>
      <c r="S7" s="1">
        <v>8</v>
      </c>
      <c r="T7" s="1">
        <f t="shared" si="2"/>
        <v>176</v>
      </c>
      <c r="U7" s="1">
        <f t="shared" si="3"/>
        <v>2238.5</v>
      </c>
      <c r="V7" s="1">
        <f t="shared" si="4"/>
        <v>22.385000000000002</v>
      </c>
      <c r="W7" s="1">
        <f t="shared" si="5"/>
        <v>111.92500000000001</v>
      </c>
      <c r="X7" s="1"/>
      <c r="Y7" s="1">
        <f t="shared" si="9"/>
        <v>0</v>
      </c>
      <c r="Z7" s="1"/>
      <c r="AA7" s="1">
        <f t="shared" si="6"/>
        <v>2104.1899999999996</v>
      </c>
      <c r="AB7" s="1"/>
      <c r="AC7" s="9">
        <v>16.5</v>
      </c>
      <c r="AD7" s="9">
        <f t="shared" si="10"/>
        <v>14.5</v>
      </c>
      <c r="AE7" s="1">
        <f t="shared" si="11"/>
        <v>1980</v>
      </c>
      <c r="AF7">
        <f t="shared" si="12"/>
        <v>978.75</v>
      </c>
      <c r="AG7">
        <f t="shared" si="13"/>
        <v>232</v>
      </c>
      <c r="AH7">
        <f t="shared" si="14"/>
        <v>3190.75</v>
      </c>
    </row>
    <row r="8" spans="1:34">
      <c r="A8" s="1">
        <v>5</v>
      </c>
      <c r="B8" s="1" t="s">
        <v>94</v>
      </c>
      <c r="C8" s="1" t="s">
        <v>31</v>
      </c>
      <c r="D8" s="1" t="s">
        <v>56</v>
      </c>
      <c r="E8" s="1" t="s">
        <v>79</v>
      </c>
      <c r="F8" s="1" t="s">
        <v>89</v>
      </c>
      <c r="G8" s="1"/>
      <c r="H8" s="1"/>
      <c r="I8" s="11" t="s">
        <v>119</v>
      </c>
      <c r="J8" s="11" t="s">
        <v>134</v>
      </c>
      <c r="K8" s="1">
        <v>11</v>
      </c>
      <c r="L8" s="1">
        <v>8</v>
      </c>
      <c r="M8" s="9">
        <f t="shared" si="7"/>
        <v>16.5</v>
      </c>
      <c r="N8" s="1">
        <f t="shared" si="8"/>
        <v>22</v>
      </c>
      <c r="O8" s="1">
        <v>9</v>
      </c>
      <c r="P8" s="1">
        <f t="shared" si="0"/>
        <v>792</v>
      </c>
      <c r="Q8" s="1">
        <v>8</v>
      </c>
      <c r="R8" s="1">
        <f t="shared" si="1"/>
        <v>132</v>
      </c>
      <c r="S8" s="1">
        <v>12</v>
      </c>
      <c r="T8" s="1">
        <f t="shared" si="2"/>
        <v>264</v>
      </c>
      <c r="U8" s="1">
        <f t="shared" si="3"/>
        <v>1188</v>
      </c>
      <c r="V8" s="1">
        <f t="shared" si="4"/>
        <v>11.88</v>
      </c>
      <c r="W8" s="1">
        <f t="shared" si="5"/>
        <v>59.400000000000006</v>
      </c>
      <c r="X8" s="1"/>
      <c r="Y8" s="1">
        <f t="shared" si="9"/>
        <v>0</v>
      </c>
      <c r="Z8" s="1"/>
      <c r="AA8" s="1">
        <f t="shared" si="6"/>
        <v>1116.7199999999998</v>
      </c>
      <c r="AB8" s="1"/>
      <c r="AC8" s="9">
        <v>16.5</v>
      </c>
      <c r="AD8" s="9">
        <f t="shared" si="10"/>
        <v>14.5</v>
      </c>
      <c r="AE8" s="1">
        <f t="shared" si="11"/>
        <v>1188</v>
      </c>
      <c r="AF8">
        <f t="shared" si="12"/>
        <v>174</v>
      </c>
      <c r="AG8">
        <f t="shared" si="13"/>
        <v>348</v>
      </c>
      <c r="AH8">
        <f t="shared" si="14"/>
        <v>1710</v>
      </c>
    </row>
    <row r="9" spans="1:34">
      <c r="A9" s="1">
        <v>6</v>
      </c>
      <c r="B9" s="1" t="s">
        <v>95</v>
      </c>
      <c r="C9" s="1" t="s">
        <v>32</v>
      </c>
      <c r="D9" s="1" t="s">
        <v>57</v>
      </c>
      <c r="E9" s="1" t="s">
        <v>79</v>
      </c>
      <c r="F9" s="1" t="s">
        <v>89</v>
      </c>
      <c r="G9" s="1"/>
      <c r="H9" s="1"/>
      <c r="I9" s="11" t="s">
        <v>120</v>
      </c>
      <c r="J9" s="11" t="s">
        <v>135</v>
      </c>
      <c r="K9" s="1">
        <v>11</v>
      </c>
      <c r="L9" s="1">
        <v>8</v>
      </c>
      <c r="M9" s="9">
        <f t="shared" si="7"/>
        <v>16.5</v>
      </c>
      <c r="N9" s="1">
        <f t="shared" si="8"/>
        <v>22</v>
      </c>
      <c r="O9" s="1">
        <v>22</v>
      </c>
      <c r="P9" s="1">
        <f t="shared" si="0"/>
        <v>1936</v>
      </c>
      <c r="Q9" s="1">
        <v>38</v>
      </c>
      <c r="R9" s="1">
        <f t="shared" si="1"/>
        <v>627</v>
      </c>
      <c r="S9" s="1">
        <v>22</v>
      </c>
      <c r="T9" s="1">
        <f t="shared" si="2"/>
        <v>484</v>
      </c>
      <c r="U9" s="1">
        <f t="shared" si="3"/>
        <v>3047</v>
      </c>
      <c r="V9" s="1">
        <f t="shared" si="4"/>
        <v>30.47</v>
      </c>
      <c r="W9" s="1">
        <f t="shared" si="5"/>
        <v>152.35</v>
      </c>
      <c r="X9" s="1"/>
      <c r="Y9" s="1">
        <f t="shared" si="9"/>
        <v>0</v>
      </c>
      <c r="Z9" s="1"/>
      <c r="AA9" s="1">
        <f t="shared" si="6"/>
        <v>2864.1800000000003</v>
      </c>
      <c r="AB9" s="1"/>
      <c r="AC9" s="9">
        <v>16.5</v>
      </c>
      <c r="AD9" s="9">
        <f t="shared" si="10"/>
        <v>14.5</v>
      </c>
      <c r="AE9" s="1">
        <f t="shared" si="11"/>
        <v>2904</v>
      </c>
      <c r="AF9">
        <f t="shared" si="12"/>
        <v>826.5</v>
      </c>
      <c r="AG9">
        <f t="shared" si="13"/>
        <v>638</v>
      </c>
      <c r="AH9">
        <f t="shared" si="14"/>
        <v>4368.5</v>
      </c>
    </row>
    <row r="10" spans="1:34">
      <c r="A10" s="1">
        <v>7</v>
      </c>
      <c r="B10" s="1" t="s">
        <v>96</v>
      </c>
      <c r="C10" s="1" t="s">
        <v>33</v>
      </c>
      <c r="D10" s="1" t="s">
        <v>58</v>
      </c>
      <c r="E10" s="1" t="s">
        <v>80</v>
      </c>
      <c r="F10" s="1" t="s">
        <v>89</v>
      </c>
      <c r="G10" s="1"/>
      <c r="H10" s="1"/>
      <c r="I10" s="11" t="s">
        <v>121</v>
      </c>
      <c r="J10" s="11" t="s">
        <v>136</v>
      </c>
      <c r="K10" s="1">
        <v>30</v>
      </c>
      <c r="L10" s="1">
        <v>8</v>
      </c>
      <c r="M10" s="9">
        <f t="shared" si="7"/>
        <v>45</v>
      </c>
      <c r="N10" s="1">
        <f t="shared" si="8"/>
        <v>60</v>
      </c>
      <c r="O10" s="1">
        <v>19</v>
      </c>
      <c r="P10" s="1">
        <f t="shared" si="0"/>
        <v>4560</v>
      </c>
      <c r="Q10" s="1">
        <v>33</v>
      </c>
      <c r="R10" s="1">
        <f t="shared" si="1"/>
        <v>1485</v>
      </c>
      <c r="S10" s="1">
        <v>25</v>
      </c>
      <c r="T10" s="1">
        <f t="shared" si="2"/>
        <v>1500</v>
      </c>
      <c r="U10" s="1">
        <f t="shared" si="3"/>
        <v>7545</v>
      </c>
      <c r="V10" s="1">
        <f t="shared" si="4"/>
        <v>75.45</v>
      </c>
      <c r="W10" s="1">
        <f t="shared" si="5"/>
        <v>377.25</v>
      </c>
      <c r="X10" s="1"/>
      <c r="Y10" s="1">
        <f t="shared" si="9"/>
        <v>0</v>
      </c>
      <c r="Z10" s="1"/>
      <c r="AA10" s="1">
        <f t="shared" si="6"/>
        <v>7092.3</v>
      </c>
      <c r="AB10" s="1"/>
      <c r="AC10" s="9">
        <v>35</v>
      </c>
      <c r="AD10" s="9">
        <f t="shared" si="10"/>
        <v>33</v>
      </c>
      <c r="AE10" s="1">
        <f t="shared" si="11"/>
        <v>5320</v>
      </c>
      <c r="AF10">
        <f t="shared" si="12"/>
        <v>1633.5</v>
      </c>
      <c r="AG10">
        <f t="shared" si="13"/>
        <v>1650</v>
      </c>
      <c r="AH10">
        <f t="shared" si="14"/>
        <v>8603.5</v>
      </c>
    </row>
    <row r="11" spans="1:34">
      <c r="A11" s="1">
        <v>8</v>
      </c>
      <c r="B11" s="1" t="s">
        <v>97</v>
      </c>
      <c r="C11" s="1" t="s">
        <v>34</v>
      </c>
      <c r="D11" s="1" t="s">
        <v>59</v>
      </c>
      <c r="E11" s="1" t="s">
        <v>81</v>
      </c>
      <c r="F11" s="1" t="s">
        <v>89</v>
      </c>
      <c r="G11" s="1"/>
      <c r="H11" s="1"/>
      <c r="I11" s="11" t="s">
        <v>122</v>
      </c>
      <c r="J11" s="11" t="s">
        <v>134</v>
      </c>
      <c r="K11" s="1">
        <v>14</v>
      </c>
      <c r="L11" s="1">
        <v>8</v>
      </c>
      <c r="M11" s="9">
        <f t="shared" si="7"/>
        <v>21</v>
      </c>
      <c r="N11" s="1">
        <f t="shared" si="8"/>
        <v>28</v>
      </c>
      <c r="O11" s="1">
        <v>23</v>
      </c>
      <c r="P11" s="1">
        <f t="shared" si="0"/>
        <v>2576</v>
      </c>
      <c r="Q11" s="1">
        <v>43</v>
      </c>
      <c r="R11" s="1">
        <f t="shared" si="1"/>
        <v>903</v>
      </c>
      <c r="S11" s="1">
        <v>18</v>
      </c>
      <c r="T11" s="1">
        <f t="shared" si="2"/>
        <v>504</v>
      </c>
      <c r="U11" s="1">
        <f t="shared" si="3"/>
        <v>3983</v>
      </c>
      <c r="V11" s="1">
        <f t="shared" si="4"/>
        <v>39.83</v>
      </c>
      <c r="W11" s="1">
        <f t="shared" si="5"/>
        <v>199.15</v>
      </c>
      <c r="X11" s="1"/>
      <c r="Y11" s="1">
        <f t="shared" si="9"/>
        <v>0</v>
      </c>
      <c r="Z11" s="1"/>
      <c r="AA11" s="1">
        <f t="shared" si="6"/>
        <v>3744.02</v>
      </c>
      <c r="AB11" s="1"/>
      <c r="AC11" s="9">
        <v>22</v>
      </c>
      <c r="AD11" s="9">
        <f t="shared" si="10"/>
        <v>20</v>
      </c>
      <c r="AE11" s="1">
        <f t="shared" si="11"/>
        <v>4048</v>
      </c>
      <c r="AF11">
        <f t="shared" si="12"/>
        <v>1290</v>
      </c>
      <c r="AG11">
        <f t="shared" si="13"/>
        <v>720</v>
      </c>
      <c r="AH11">
        <f t="shared" si="14"/>
        <v>6058</v>
      </c>
    </row>
    <row r="12" spans="1:34">
      <c r="A12" s="1">
        <v>9</v>
      </c>
      <c r="B12" s="1" t="s">
        <v>98</v>
      </c>
      <c r="C12" s="1" t="s">
        <v>35</v>
      </c>
      <c r="D12" s="1" t="s">
        <v>60</v>
      </c>
      <c r="E12" s="1" t="s">
        <v>79</v>
      </c>
      <c r="F12" s="1" t="s">
        <v>89</v>
      </c>
      <c r="G12" s="1"/>
      <c r="H12" s="1"/>
      <c r="I12" s="11" t="s">
        <v>123</v>
      </c>
      <c r="J12" s="11" t="s">
        <v>134</v>
      </c>
      <c r="K12" s="1">
        <v>11</v>
      </c>
      <c r="L12" s="1">
        <v>8</v>
      </c>
      <c r="M12" s="9">
        <f t="shared" si="7"/>
        <v>16.5</v>
      </c>
      <c r="N12" s="1">
        <f t="shared" si="8"/>
        <v>22</v>
      </c>
      <c r="O12" s="1">
        <v>21</v>
      </c>
      <c r="P12" s="1">
        <f t="shared" si="0"/>
        <v>1848</v>
      </c>
      <c r="Q12" s="1">
        <v>47</v>
      </c>
      <c r="R12" s="1">
        <f t="shared" si="1"/>
        <v>775.5</v>
      </c>
      <c r="S12" s="1">
        <v>10</v>
      </c>
      <c r="T12" s="1">
        <f t="shared" si="2"/>
        <v>220</v>
      </c>
      <c r="U12" s="1">
        <f t="shared" si="3"/>
        <v>2843.5</v>
      </c>
      <c r="V12" s="1">
        <f t="shared" si="4"/>
        <v>28.435000000000002</v>
      </c>
      <c r="W12" s="1">
        <f t="shared" si="5"/>
        <v>142.17500000000001</v>
      </c>
      <c r="X12" s="1">
        <v>2000</v>
      </c>
      <c r="Y12" s="1">
        <f t="shared" si="9"/>
        <v>2600</v>
      </c>
      <c r="Z12" s="1"/>
      <c r="AA12" s="1">
        <f t="shared" si="6"/>
        <v>72.889999999999873</v>
      </c>
      <c r="AB12" s="1"/>
      <c r="AC12" s="9">
        <v>16.5</v>
      </c>
      <c r="AD12" s="9">
        <f t="shared" si="10"/>
        <v>14.5</v>
      </c>
      <c r="AE12" s="1">
        <f t="shared" si="11"/>
        <v>2772</v>
      </c>
      <c r="AF12">
        <f t="shared" si="12"/>
        <v>1022.25</v>
      </c>
      <c r="AG12">
        <f t="shared" si="13"/>
        <v>290</v>
      </c>
      <c r="AH12">
        <f t="shared" si="14"/>
        <v>4084.25</v>
      </c>
    </row>
    <row r="13" spans="1:34">
      <c r="A13" s="1">
        <v>10</v>
      </c>
      <c r="B13" s="1" t="s">
        <v>99</v>
      </c>
      <c r="C13" s="1" t="s">
        <v>36</v>
      </c>
      <c r="D13" s="1" t="s">
        <v>61</v>
      </c>
      <c r="E13" s="1" t="s">
        <v>79</v>
      </c>
      <c r="F13" s="1" t="s">
        <v>89</v>
      </c>
      <c r="G13" s="1"/>
      <c r="H13" s="1"/>
      <c r="I13" s="11" t="s">
        <v>124</v>
      </c>
      <c r="J13" s="11" t="s">
        <v>134</v>
      </c>
      <c r="K13" s="1">
        <v>11</v>
      </c>
      <c r="L13" s="1">
        <v>8</v>
      </c>
      <c r="M13" s="9">
        <f t="shared" si="7"/>
        <v>16.5</v>
      </c>
      <c r="N13" s="1">
        <f t="shared" si="8"/>
        <v>22</v>
      </c>
      <c r="O13" s="1">
        <v>13</v>
      </c>
      <c r="P13" s="1">
        <f t="shared" si="0"/>
        <v>1144</v>
      </c>
      <c r="Q13" s="1">
        <v>8</v>
      </c>
      <c r="R13" s="1">
        <f t="shared" si="1"/>
        <v>132</v>
      </c>
      <c r="S13" s="1">
        <v>8</v>
      </c>
      <c r="T13" s="1">
        <f t="shared" si="2"/>
        <v>176</v>
      </c>
      <c r="U13" s="1">
        <f t="shared" si="3"/>
        <v>1452</v>
      </c>
      <c r="V13" s="1">
        <f t="shared" si="4"/>
        <v>14.52</v>
      </c>
      <c r="W13" s="1">
        <f t="shared" si="5"/>
        <v>72.600000000000009</v>
      </c>
      <c r="X13" s="1"/>
      <c r="Y13" s="1">
        <f t="shared" si="9"/>
        <v>0</v>
      </c>
      <c r="Z13" s="1"/>
      <c r="AA13" s="1">
        <f t="shared" si="6"/>
        <v>1364.88</v>
      </c>
      <c r="AB13" s="1"/>
      <c r="AC13" s="9">
        <v>16.5</v>
      </c>
      <c r="AD13" s="9">
        <f t="shared" si="10"/>
        <v>14.5</v>
      </c>
      <c r="AE13" s="1">
        <f t="shared" si="11"/>
        <v>1716</v>
      </c>
      <c r="AF13">
        <f t="shared" si="12"/>
        <v>174</v>
      </c>
      <c r="AG13">
        <f t="shared" si="13"/>
        <v>232</v>
      </c>
      <c r="AH13">
        <f t="shared" si="14"/>
        <v>2122</v>
      </c>
    </row>
    <row r="14" spans="1:34">
      <c r="A14" s="1">
        <v>11</v>
      </c>
      <c r="B14" s="1" t="s">
        <v>100</v>
      </c>
      <c r="C14" s="1" t="s">
        <v>37</v>
      </c>
      <c r="D14" s="1" t="s">
        <v>62</v>
      </c>
      <c r="E14" s="1" t="s">
        <v>82</v>
      </c>
      <c r="F14" s="1" t="s">
        <v>89</v>
      </c>
      <c r="G14" s="1"/>
      <c r="H14" s="1"/>
      <c r="I14" s="11" t="s">
        <v>125</v>
      </c>
      <c r="J14" s="11" t="s">
        <v>134</v>
      </c>
      <c r="K14" s="1">
        <v>14.5</v>
      </c>
      <c r="L14" s="1">
        <v>8</v>
      </c>
      <c r="M14" s="9">
        <f t="shared" si="7"/>
        <v>21.75</v>
      </c>
      <c r="N14" s="1">
        <f t="shared" si="8"/>
        <v>29</v>
      </c>
      <c r="O14" s="1">
        <v>22</v>
      </c>
      <c r="P14" s="1">
        <f t="shared" si="0"/>
        <v>2552</v>
      </c>
      <c r="Q14" s="1">
        <v>31</v>
      </c>
      <c r="R14" s="1">
        <f t="shared" si="1"/>
        <v>674.25</v>
      </c>
      <c r="S14" s="1">
        <v>21</v>
      </c>
      <c r="T14" s="1">
        <f t="shared" si="2"/>
        <v>609</v>
      </c>
      <c r="U14" s="1">
        <f t="shared" si="3"/>
        <v>3835.25</v>
      </c>
      <c r="V14" s="1">
        <f t="shared" si="4"/>
        <v>38.352499999999999</v>
      </c>
      <c r="W14" s="1">
        <f t="shared" si="5"/>
        <v>191.76250000000002</v>
      </c>
      <c r="X14" s="1">
        <v>500</v>
      </c>
      <c r="Y14" s="1">
        <f t="shared" si="9"/>
        <v>650</v>
      </c>
      <c r="Z14" s="1"/>
      <c r="AA14" s="1">
        <f t="shared" si="6"/>
        <v>2955.1350000000002</v>
      </c>
      <c r="AB14" s="1"/>
      <c r="AC14" s="9">
        <v>19.5</v>
      </c>
      <c r="AD14" s="9">
        <f t="shared" si="10"/>
        <v>17.5</v>
      </c>
      <c r="AE14" s="1">
        <f t="shared" si="11"/>
        <v>3432</v>
      </c>
      <c r="AF14">
        <f t="shared" si="12"/>
        <v>813.75</v>
      </c>
      <c r="AG14">
        <f t="shared" si="13"/>
        <v>735</v>
      </c>
      <c r="AH14">
        <f t="shared" si="14"/>
        <v>4980.75</v>
      </c>
    </row>
    <row r="15" spans="1:34">
      <c r="A15" s="1">
        <v>12</v>
      </c>
      <c r="B15" s="1" t="s">
        <v>101</v>
      </c>
      <c r="C15" s="1" t="s">
        <v>38</v>
      </c>
      <c r="D15" s="1" t="s">
        <v>63</v>
      </c>
      <c r="E15" s="1" t="s">
        <v>79</v>
      </c>
      <c r="F15" s="1" t="s">
        <v>89</v>
      </c>
      <c r="G15" s="1"/>
      <c r="H15" s="1"/>
      <c r="I15" s="11" t="s">
        <v>126</v>
      </c>
      <c r="J15" s="11" t="s">
        <v>134</v>
      </c>
      <c r="K15" s="1">
        <v>11</v>
      </c>
      <c r="L15" s="1">
        <v>8</v>
      </c>
      <c r="M15" s="9">
        <f t="shared" si="7"/>
        <v>16.5</v>
      </c>
      <c r="N15" s="1">
        <f t="shared" si="8"/>
        <v>22</v>
      </c>
      <c r="O15" s="1">
        <v>21</v>
      </c>
      <c r="P15" s="1">
        <f t="shared" si="0"/>
        <v>1848</v>
      </c>
      <c r="Q15" s="1">
        <v>38</v>
      </c>
      <c r="R15" s="1">
        <f t="shared" si="1"/>
        <v>627</v>
      </c>
      <c r="S15" s="1">
        <v>5</v>
      </c>
      <c r="T15" s="1">
        <f t="shared" si="2"/>
        <v>110</v>
      </c>
      <c r="U15" s="1">
        <f t="shared" si="3"/>
        <v>2585</v>
      </c>
      <c r="V15" s="1">
        <f t="shared" si="4"/>
        <v>25.85</v>
      </c>
      <c r="W15" s="1">
        <f t="shared" si="5"/>
        <v>129.25</v>
      </c>
      <c r="X15" s="1"/>
      <c r="Y15" s="1">
        <f t="shared" si="9"/>
        <v>0</v>
      </c>
      <c r="Z15" s="1"/>
      <c r="AA15" s="1">
        <f t="shared" si="6"/>
        <v>2429.9</v>
      </c>
      <c r="AB15" s="1"/>
      <c r="AC15" s="9">
        <v>16.5</v>
      </c>
      <c r="AD15" s="9">
        <f t="shared" si="10"/>
        <v>14.5</v>
      </c>
      <c r="AE15" s="1">
        <f t="shared" si="11"/>
        <v>2772</v>
      </c>
      <c r="AF15">
        <f t="shared" si="12"/>
        <v>826.5</v>
      </c>
      <c r="AG15">
        <f t="shared" si="13"/>
        <v>145</v>
      </c>
      <c r="AH15">
        <f t="shared" si="14"/>
        <v>3743.5</v>
      </c>
    </row>
    <row r="16" spans="1:34">
      <c r="A16" s="1">
        <v>13</v>
      </c>
      <c r="B16" s="1" t="s">
        <v>102</v>
      </c>
      <c r="C16" s="1" t="s">
        <v>39</v>
      </c>
      <c r="D16" s="1" t="s">
        <v>64</v>
      </c>
      <c r="E16" s="1" t="s">
        <v>79</v>
      </c>
      <c r="F16" s="1" t="s">
        <v>89</v>
      </c>
      <c r="G16" s="1"/>
      <c r="H16" s="1"/>
      <c r="I16" s="11" t="s">
        <v>127</v>
      </c>
      <c r="J16" s="11" t="s">
        <v>134</v>
      </c>
      <c r="K16" s="1">
        <v>11</v>
      </c>
      <c r="L16" s="1">
        <v>8</v>
      </c>
      <c r="M16" s="9">
        <f t="shared" si="7"/>
        <v>16.5</v>
      </c>
      <c r="N16" s="1">
        <f t="shared" si="8"/>
        <v>22</v>
      </c>
      <c r="O16" s="1">
        <v>21</v>
      </c>
      <c r="P16" s="1">
        <f t="shared" si="0"/>
        <v>1848</v>
      </c>
      <c r="Q16" s="1">
        <v>31</v>
      </c>
      <c r="R16" s="1">
        <f t="shared" si="1"/>
        <v>511.5</v>
      </c>
      <c r="S16" s="1">
        <v>5</v>
      </c>
      <c r="T16" s="1">
        <f t="shared" si="2"/>
        <v>110</v>
      </c>
      <c r="U16" s="1">
        <f t="shared" si="3"/>
        <v>2469.5</v>
      </c>
      <c r="V16" s="1">
        <f t="shared" si="4"/>
        <v>24.695</v>
      </c>
      <c r="W16" s="1">
        <f t="shared" si="5"/>
        <v>123.47500000000001</v>
      </c>
      <c r="X16" s="1"/>
      <c r="Y16" s="1">
        <f t="shared" si="9"/>
        <v>0</v>
      </c>
      <c r="Z16" s="1"/>
      <c r="AA16" s="1">
        <f t="shared" si="6"/>
        <v>2321.33</v>
      </c>
      <c r="AB16" s="1"/>
      <c r="AC16" s="9">
        <v>16.5</v>
      </c>
      <c r="AD16" s="9">
        <f t="shared" si="10"/>
        <v>14.5</v>
      </c>
      <c r="AE16" s="1">
        <f t="shared" si="11"/>
        <v>2772</v>
      </c>
      <c r="AF16">
        <f t="shared" si="12"/>
        <v>674.25</v>
      </c>
      <c r="AG16">
        <f t="shared" si="13"/>
        <v>145</v>
      </c>
      <c r="AH16">
        <f t="shared" si="14"/>
        <v>3591.25</v>
      </c>
    </row>
    <row r="17" spans="1:35">
      <c r="A17" s="1">
        <v>14</v>
      </c>
      <c r="B17" s="1" t="s">
        <v>103</v>
      </c>
      <c r="C17" s="1" t="s">
        <v>40</v>
      </c>
      <c r="D17" s="1" t="s">
        <v>65</v>
      </c>
      <c r="E17" s="1" t="s">
        <v>77</v>
      </c>
      <c r="F17" s="1" t="s">
        <v>89</v>
      </c>
      <c r="G17" s="1"/>
      <c r="H17" s="1"/>
      <c r="I17" s="11" t="s">
        <v>128</v>
      </c>
      <c r="J17" s="11" t="s">
        <v>134</v>
      </c>
      <c r="K17" s="1">
        <v>13</v>
      </c>
      <c r="L17" s="1">
        <v>8</v>
      </c>
      <c r="M17" s="9">
        <f t="shared" si="7"/>
        <v>19.5</v>
      </c>
      <c r="N17" s="1">
        <f t="shared" si="8"/>
        <v>26</v>
      </c>
      <c r="O17" s="1">
        <v>6</v>
      </c>
      <c r="P17" s="1">
        <f t="shared" si="0"/>
        <v>624</v>
      </c>
      <c r="Q17" s="1">
        <v>8</v>
      </c>
      <c r="R17" s="1">
        <f t="shared" si="1"/>
        <v>156</v>
      </c>
      <c r="S17" s="1">
        <v>0</v>
      </c>
      <c r="T17" s="1">
        <f t="shared" si="2"/>
        <v>0</v>
      </c>
      <c r="U17" s="1">
        <f t="shared" si="3"/>
        <v>780</v>
      </c>
      <c r="V17" s="1">
        <f t="shared" si="4"/>
        <v>7.8</v>
      </c>
      <c r="W17" s="1">
        <f t="shared" si="5"/>
        <v>39</v>
      </c>
      <c r="X17" s="1"/>
      <c r="Y17" s="1">
        <f t="shared" si="9"/>
        <v>0</v>
      </c>
      <c r="Z17" s="1"/>
      <c r="AA17" s="1">
        <f t="shared" si="6"/>
        <v>733.2</v>
      </c>
      <c r="AB17" s="1"/>
      <c r="AC17" s="9">
        <v>19.5</v>
      </c>
      <c r="AD17" s="9">
        <f t="shared" si="10"/>
        <v>17.5</v>
      </c>
      <c r="AE17" s="1">
        <f t="shared" si="11"/>
        <v>936</v>
      </c>
      <c r="AF17">
        <f t="shared" si="12"/>
        <v>210</v>
      </c>
      <c r="AG17">
        <f t="shared" si="13"/>
        <v>0</v>
      </c>
      <c r="AH17">
        <f t="shared" si="14"/>
        <v>1146</v>
      </c>
    </row>
    <row r="18" spans="1:35">
      <c r="A18" s="1">
        <v>15</v>
      </c>
      <c r="B18" s="1" t="s">
        <v>104</v>
      </c>
      <c r="C18" s="1" t="s">
        <v>41</v>
      </c>
      <c r="D18" s="1" t="s">
        <v>66</v>
      </c>
      <c r="E18" s="1" t="s">
        <v>83</v>
      </c>
      <c r="F18" s="1" t="s">
        <v>89</v>
      </c>
      <c r="G18" s="1"/>
      <c r="H18" s="1"/>
      <c r="I18" s="1"/>
      <c r="J18" s="1"/>
      <c r="K18" s="1">
        <v>14.5</v>
      </c>
      <c r="L18" s="1">
        <v>8</v>
      </c>
      <c r="M18" s="9">
        <f t="shared" si="7"/>
        <v>21.75</v>
      </c>
      <c r="N18" s="1">
        <f t="shared" si="8"/>
        <v>29</v>
      </c>
      <c r="O18" s="1">
        <v>23</v>
      </c>
      <c r="P18" s="1">
        <f t="shared" si="0"/>
        <v>2668</v>
      </c>
      <c r="Q18" s="1">
        <v>35</v>
      </c>
      <c r="R18" s="1">
        <f t="shared" si="1"/>
        <v>761.25</v>
      </c>
      <c r="S18" s="1">
        <v>9</v>
      </c>
      <c r="T18" s="1">
        <f t="shared" si="2"/>
        <v>261</v>
      </c>
      <c r="U18" s="1">
        <f t="shared" si="3"/>
        <v>3690.25</v>
      </c>
      <c r="V18" s="1">
        <f t="shared" si="4"/>
        <v>36.902500000000003</v>
      </c>
      <c r="W18" s="1">
        <f t="shared" si="5"/>
        <v>184.51250000000002</v>
      </c>
      <c r="X18" s="1"/>
      <c r="Y18" s="1">
        <f t="shared" si="9"/>
        <v>0</v>
      </c>
      <c r="Z18" s="1"/>
      <c r="AA18" s="1">
        <f t="shared" si="6"/>
        <v>3468.835</v>
      </c>
      <c r="AB18" s="1"/>
      <c r="AC18" s="9">
        <v>19.5</v>
      </c>
      <c r="AD18" s="9">
        <f t="shared" si="10"/>
        <v>17.5</v>
      </c>
      <c r="AE18" s="1">
        <f t="shared" si="11"/>
        <v>3588</v>
      </c>
      <c r="AF18">
        <f t="shared" si="12"/>
        <v>918.75</v>
      </c>
      <c r="AG18">
        <f t="shared" si="13"/>
        <v>315</v>
      </c>
      <c r="AH18">
        <f t="shared" si="14"/>
        <v>4821.75</v>
      </c>
    </row>
    <row r="19" spans="1:35">
      <c r="A19" s="1">
        <v>16</v>
      </c>
      <c r="B19" s="1" t="s">
        <v>105</v>
      </c>
      <c r="C19" s="1" t="s">
        <v>42</v>
      </c>
      <c r="D19" s="1" t="s">
        <v>67</v>
      </c>
      <c r="E19" s="1" t="s">
        <v>79</v>
      </c>
      <c r="F19" s="1" t="s">
        <v>89</v>
      </c>
      <c r="G19" s="1"/>
      <c r="H19" s="1"/>
      <c r="I19" s="1" t="s">
        <v>128</v>
      </c>
      <c r="J19" s="11" t="s">
        <v>134</v>
      </c>
      <c r="K19" s="1">
        <v>11</v>
      </c>
      <c r="L19" s="1">
        <v>8</v>
      </c>
      <c r="M19" s="9">
        <f t="shared" si="7"/>
        <v>16.5</v>
      </c>
      <c r="N19" s="1">
        <f t="shared" si="8"/>
        <v>22</v>
      </c>
      <c r="O19" s="1">
        <v>21</v>
      </c>
      <c r="P19" s="1">
        <f t="shared" si="0"/>
        <v>1848</v>
      </c>
      <c r="Q19" s="1">
        <v>33</v>
      </c>
      <c r="R19" s="1">
        <f t="shared" si="1"/>
        <v>544.5</v>
      </c>
      <c r="S19" s="1">
        <v>0</v>
      </c>
      <c r="T19" s="1">
        <f t="shared" si="2"/>
        <v>0</v>
      </c>
      <c r="U19" s="1">
        <f t="shared" si="3"/>
        <v>2392.5</v>
      </c>
      <c r="V19" s="1">
        <f t="shared" si="4"/>
        <v>23.925000000000001</v>
      </c>
      <c r="W19" s="1">
        <f t="shared" si="5"/>
        <v>119.625</v>
      </c>
      <c r="X19" s="1">
        <v>1000</v>
      </c>
      <c r="Y19" s="1">
        <f t="shared" si="9"/>
        <v>1300</v>
      </c>
      <c r="Z19" s="1"/>
      <c r="AA19" s="1">
        <f t="shared" si="6"/>
        <v>948.94999999999982</v>
      </c>
      <c r="AB19" s="1"/>
      <c r="AC19" s="9">
        <v>16.5</v>
      </c>
      <c r="AD19" s="9">
        <f t="shared" si="10"/>
        <v>14.5</v>
      </c>
      <c r="AE19" s="1">
        <f t="shared" si="11"/>
        <v>2772</v>
      </c>
      <c r="AF19">
        <f t="shared" si="12"/>
        <v>717.75</v>
      </c>
      <c r="AG19">
        <f t="shared" si="13"/>
        <v>0</v>
      </c>
      <c r="AH19">
        <f t="shared" si="14"/>
        <v>3489.75</v>
      </c>
    </row>
    <row r="20" spans="1:35">
      <c r="A20" s="1">
        <v>17</v>
      </c>
      <c r="B20" s="1" t="s">
        <v>106</v>
      </c>
      <c r="C20" s="1" t="s">
        <v>43</v>
      </c>
      <c r="D20" s="1" t="s">
        <v>68</v>
      </c>
      <c r="E20" s="1" t="s">
        <v>84</v>
      </c>
      <c r="F20" s="1" t="s">
        <v>89</v>
      </c>
      <c r="G20" s="1"/>
      <c r="H20" s="1"/>
      <c r="I20" s="11" t="s">
        <v>129</v>
      </c>
      <c r="J20" s="11" t="s">
        <v>134</v>
      </c>
      <c r="K20" s="1">
        <v>14.5</v>
      </c>
      <c r="L20" s="1">
        <v>8</v>
      </c>
      <c r="M20" s="9">
        <f t="shared" si="7"/>
        <v>21.75</v>
      </c>
      <c r="N20" s="1">
        <f t="shared" si="8"/>
        <v>29</v>
      </c>
      <c r="O20" s="1">
        <v>22</v>
      </c>
      <c r="P20" s="1">
        <f t="shared" si="0"/>
        <v>2552</v>
      </c>
      <c r="Q20" s="1">
        <v>70</v>
      </c>
      <c r="R20" s="1">
        <f t="shared" si="1"/>
        <v>1522.5</v>
      </c>
      <c r="S20" s="1">
        <v>24</v>
      </c>
      <c r="T20" s="1">
        <f t="shared" si="2"/>
        <v>696</v>
      </c>
      <c r="U20" s="1">
        <f t="shared" si="3"/>
        <v>4770.5</v>
      </c>
      <c r="V20" s="1">
        <f t="shared" si="4"/>
        <v>47.704999999999998</v>
      </c>
      <c r="W20" s="1">
        <f t="shared" si="5"/>
        <v>238.52500000000001</v>
      </c>
      <c r="X20" s="1"/>
      <c r="Y20" s="1">
        <f t="shared" si="9"/>
        <v>0</v>
      </c>
      <c r="Z20" s="1"/>
      <c r="AA20" s="1">
        <f t="shared" si="6"/>
        <v>4484.2700000000004</v>
      </c>
      <c r="AB20" s="1"/>
      <c r="AC20" s="9">
        <v>19.5</v>
      </c>
      <c r="AD20" s="9">
        <f t="shared" si="10"/>
        <v>17.5</v>
      </c>
      <c r="AE20" s="1">
        <f t="shared" si="11"/>
        <v>3432</v>
      </c>
      <c r="AF20">
        <f t="shared" si="12"/>
        <v>1837.5</v>
      </c>
      <c r="AG20">
        <f t="shared" si="13"/>
        <v>840</v>
      </c>
      <c r="AH20">
        <f t="shared" si="14"/>
        <v>6109.5</v>
      </c>
    </row>
    <row r="21" spans="1:35">
      <c r="A21" s="1">
        <v>18</v>
      </c>
      <c r="B21" s="1" t="s">
        <v>107</v>
      </c>
      <c r="C21" s="1" t="s">
        <v>44</v>
      </c>
      <c r="D21" s="1" t="s">
        <v>69</v>
      </c>
      <c r="E21" s="1" t="s">
        <v>77</v>
      </c>
      <c r="F21" s="1" t="s">
        <v>89</v>
      </c>
      <c r="G21" s="1"/>
      <c r="H21" s="1"/>
      <c r="I21" s="11" t="s">
        <v>130</v>
      </c>
      <c r="J21" s="11" t="s">
        <v>137</v>
      </c>
      <c r="K21" s="1">
        <v>13</v>
      </c>
      <c r="L21" s="1">
        <v>8</v>
      </c>
      <c r="M21" s="9">
        <f t="shared" si="7"/>
        <v>19.5</v>
      </c>
      <c r="N21" s="1">
        <f t="shared" si="8"/>
        <v>26</v>
      </c>
      <c r="O21" s="1">
        <v>20</v>
      </c>
      <c r="P21" s="1">
        <f>K21*L21*O21</f>
        <v>2080</v>
      </c>
      <c r="Q21" s="1">
        <v>32</v>
      </c>
      <c r="R21" s="1">
        <f>Q21*M21</f>
        <v>624</v>
      </c>
      <c r="S21" s="1">
        <v>21</v>
      </c>
      <c r="T21" s="1">
        <f>S21*N21</f>
        <v>546</v>
      </c>
      <c r="U21" s="1">
        <f>P21+R21+T21</f>
        <v>3250</v>
      </c>
      <c r="V21" s="1">
        <f>U21*1%</f>
        <v>32.5</v>
      </c>
      <c r="W21" s="1">
        <f>U21*5%</f>
        <v>162.5</v>
      </c>
      <c r="X21" s="1">
        <v>1500</v>
      </c>
      <c r="Y21" s="1">
        <f t="shared" si="9"/>
        <v>1950</v>
      </c>
      <c r="Z21" s="1"/>
      <c r="AA21" s="1">
        <f>U21-V21-W21-Y21-Z21</f>
        <v>1105</v>
      </c>
      <c r="AB21" s="1"/>
      <c r="AC21" s="9">
        <v>19.5</v>
      </c>
      <c r="AD21" s="9">
        <f t="shared" si="10"/>
        <v>17.5</v>
      </c>
      <c r="AE21" s="1">
        <f t="shared" si="11"/>
        <v>3120</v>
      </c>
      <c r="AF21">
        <f t="shared" si="12"/>
        <v>840</v>
      </c>
      <c r="AG21">
        <f t="shared" si="13"/>
        <v>735</v>
      </c>
      <c r="AH21">
        <f t="shared" si="14"/>
        <v>4695</v>
      </c>
    </row>
    <row r="22" spans="1:35">
      <c r="A22" s="1">
        <v>19</v>
      </c>
      <c r="B22" s="1" t="s">
        <v>108</v>
      </c>
      <c r="C22" s="1" t="s">
        <v>45</v>
      </c>
      <c r="D22" s="1" t="s">
        <v>70</v>
      </c>
      <c r="E22" s="1" t="s">
        <v>77</v>
      </c>
      <c r="F22" s="1" t="s">
        <v>89</v>
      </c>
      <c r="G22" s="1"/>
      <c r="H22" s="1"/>
      <c r="I22" s="11" t="s">
        <v>131</v>
      </c>
      <c r="J22" s="11" t="s">
        <v>134</v>
      </c>
      <c r="K22" s="1">
        <v>13</v>
      </c>
      <c r="L22" s="1">
        <v>8</v>
      </c>
      <c r="M22" s="9">
        <f t="shared" si="7"/>
        <v>19.5</v>
      </c>
      <c r="N22" s="1">
        <f t="shared" si="8"/>
        <v>26</v>
      </c>
      <c r="O22" s="1">
        <v>19</v>
      </c>
      <c r="P22" s="1">
        <f t="shared" ref="P22:P28" si="15">K22*L22*O22</f>
        <v>1976</v>
      </c>
      <c r="Q22" s="1">
        <v>20</v>
      </c>
      <c r="R22" s="1">
        <f t="shared" ref="R22:R28" si="16">Q22*M22</f>
        <v>390</v>
      </c>
      <c r="S22" s="1">
        <v>9</v>
      </c>
      <c r="T22" s="1">
        <f t="shared" ref="T22:T28" si="17">S22*N22</f>
        <v>234</v>
      </c>
      <c r="U22" s="1">
        <f t="shared" ref="U22:U28" si="18">P22+R22+T22</f>
        <v>2600</v>
      </c>
      <c r="V22" s="1">
        <f t="shared" ref="V22:V28" si="19">U22*1%</f>
        <v>26</v>
      </c>
      <c r="W22" s="1">
        <f t="shared" ref="W22:W28" si="20">U22*5%</f>
        <v>130</v>
      </c>
      <c r="X22" s="1"/>
      <c r="Y22" s="1">
        <f t="shared" si="9"/>
        <v>0</v>
      </c>
      <c r="Z22" s="1"/>
      <c r="AA22" s="1">
        <f t="shared" ref="AA22:AA28" si="21">U22-V22-W22-Y22-Z22</f>
        <v>2444</v>
      </c>
      <c r="AB22" s="1"/>
      <c r="AC22" s="9">
        <v>19.5</v>
      </c>
      <c r="AD22" s="9">
        <f t="shared" si="10"/>
        <v>17.5</v>
      </c>
      <c r="AE22" s="1">
        <f t="shared" si="11"/>
        <v>2964</v>
      </c>
      <c r="AF22">
        <f t="shared" si="12"/>
        <v>525</v>
      </c>
      <c r="AG22">
        <f t="shared" si="13"/>
        <v>315</v>
      </c>
      <c r="AH22">
        <f t="shared" si="14"/>
        <v>3804</v>
      </c>
    </row>
    <row r="23" spans="1:35">
      <c r="A23" s="1">
        <v>20</v>
      </c>
      <c r="B23" s="1" t="s">
        <v>109</v>
      </c>
      <c r="C23" s="1" t="s">
        <v>46</v>
      </c>
      <c r="D23" s="1" t="s">
        <v>71</v>
      </c>
      <c r="E23" s="1" t="s">
        <v>79</v>
      </c>
      <c r="F23" s="1" t="s">
        <v>89</v>
      </c>
      <c r="G23" s="1"/>
      <c r="H23" s="1"/>
      <c r="I23" s="1"/>
      <c r="J23" s="1"/>
      <c r="K23" s="1">
        <v>11</v>
      </c>
      <c r="L23" s="1">
        <v>8</v>
      </c>
      <c r="M23" s="9">
        <f t="shared" si="7"/>
        <v>16.5</v>
      </c>
      <c r="N23" s="1">
        <f t="shared" si="8"/>
        <v>22</v>
      </c>
      <c r="O23" s="1">
        <v>21</v>
      </c>
      <c r="P23" s="1">
        <f t="shared" si="15"/>
        <v>1848</v>
      </c>
      <c r="Q23" s="1">
        <v>13</v>
      </c>
      <c r="R23" s="1">
        <f t="shared" si="16"/>
        <v>214.5</v>
      </c>
      <c r="S23" s="1">
        <v>0</v>
      </c>
      <c r="T23" s="1">
        <f t="shared" si="17"/>
        <v>0</v>
      </c>
      <c r="U23" s="1">
        <f t="shared" si="18"/>
        <v>2062.5</v>
      </c>
      <c r="V23" s="1">
        <f t="shared" si="19"/>
        <v>20.625</v>
      </c>
      <c r="W23" s="1">
        <f t="shared" si="20"/>
        <v>103.125</v>
      </c>
      <c r="X23" s="1"/>
      <c r="Y23" s="1">
        <f t="shared" si="9"/>
        <v>0</v>
      </c>
      <c r="Z23" s="1"/>
      <c r="AA23" s="1">
        <f t="shared" si="21"/>
        <v>1938.75</v>
      </c>
      <c r="AB23" s="1"/>
      <c r="AC23" s="9">
        <v>16.5</v>
      </c>
      <c r="AD23" s="9">
        <f t="shared" si="10"/>
        <v>14.5</v>
      </c>
      <c r="AE23" s="1">
        <f t="shared" si="11"/>
        <v>2772</v>
      </c>
      <c r="AF23">
        <f t="shared" si="12"/>
        <v>282.75</v>
      </c>
      <c r="AG23">
        <f t="shared" si="13"/>
        <v>0</v>
      </c>
      <c r="AH23">
        <f t="shared" si="14"/>
        <v>3054.75</v>
      </c>
    </row>
    <row r="24" spans="1:35">
      <c r="A24" s="1">
        <v>21</v>
      </c>
      <c r="B24" s="1" t="s">
        <v>110</v>
      </c>
      <c r="C24" s="1" t="s">
        <v>47</v>
      </c>
      <c r="D24" s="1" t="s">
        <v>72</v>
      </c>
      <c r="E24" s="1" t="s">
        <v>85</v>
      </c>
      <c r="F24" s="1" t="s">
        <v>89</v>
      </c>
      <c r="G24" s="1"/>
      <c r="H24" s="1"/>
      <c r="I24" s="1"/>
      <c r="J24" s="1"/>
      <c r="K24" s="1">
        <v>14.5</v>
      </c>
      <c r="L24" s="1">
        <v>8</v>
      </c>
      <c r="M24" s="9">
        <f t="shared" si="7"/>
        <v>21.75</v>
      </c>
      <c r="N24" s="1">
        <f t="shared" si="8"/>
        <v>29</v>
      </c>
      <c r="O24" s="1">
        <v>6</v>
      </c>
      <c r="P24" s="1">
        <f t="shared" si="15"/>
        <v>696</v>
      </c>
      <c r="Q24" s="1">
        <v>1</v>
      </c>
      <c r="R24" s="1">
        <f t="shared" si="16"/>
        <v>21.75</v>
      </c>
      <c r="S24" s="1">
        <v>0</v>
      </c>
      <c r="T24" s="1">
        <f t="shared" si="17"/>
        <v>0</v>
      </c>
      <c r="U24" s="1">
        <f t="shared" si="18"/>
        <v>717.75</v>
      </c>
      <c r="V24" s="1">
        <f t="shared" si="19"/>
        <v>7.1775000000000002</v>
      </c>
      <c r="W24" s="1">
        <f t="shared" si="20"/>
        <v>35.887500000000003</v>
      </c>
      <c r="X24" s="1"/>
      <c r="Y24" s="1">
        <f t="shared" si="9"/>
        <v>0</v>
      </c>
      <c r="Z24" s="1"/>
      <c r="AA24" s="1">
        <f t="shared" si="21"/>
        <v>674.68499999999995</v>
      </c>
      <c r="AB24" s="1"/>
      <c r="AC24" s="9">
        <v>19.5</v>
      </c>
      <c r="AD24" s="9">
        <f t="shared" si="10"/>
        <v>17.5</v>
      </c>
      <c r="AE24" s="1">
        <f t="shared" si="11"/>
        <v>936</v>
      </c>
      <c r="AF24">
        <f t="shared" si="12"/>
        <v>26.25</v>
      </c>
      <c r="AG24">
        <f t="shared" si="13"/>
        <v>0</v>
      </c>
      <c r="AH24">
        <f t="shared" si="14"/>
        <v>962.25</v>
      </c>
    </row>
    <row r="25" spans="1:35">
      <c r="A25" s="1">
        <v>22</v>
      </c>
      <c r="B25" s="1" t="s">
        <v>111</v>
      </c>
      <c r="C25" s="1" t="s">
        <v>48</v>
      </c>
      <c r="D25" s="1" t="s">
        <v>73</v>
      </c>
      <c r="E25" s="1" t="s">
        <v>86</v>
      </c>
      <c r="F25" s="1" t="s">
        <v>89</v>
      </c>
      <c r="G25" s="1"/>
      <c r="H25" s="1"/>
      <c r="I25" s="11" t="s">
        <v>132</v>
      </c>
      <c r="J25" s="11" t="s">
        <v>136</v>
      </c>
      <c r="K25" s="1">
        <v>11</v>
      </c>
      <c r="L25" s="1">
        <v>8</v>
      </c>
      <c r="M25" s="9">
        <f t="shared" si="7"/>
        <v>16.5</v>
      </c>
      <c r="N25" s="1">
        <f t="shared" si="8"/>
        <v>22</v>
      </c>
      <c r="O25" s="1">
        <v>21</v>
      </c>
      <c r="P25" s="1">
        <f t="shared" si="15"/>
        <v>1848</v>
      </c>
      <c r="Q25" s="1">
        <v>11</v>
      </c>
      <c r="R25" s="1">
        <f t="shared" si="16"/>
        <v>181.5</v>
      </c>
      <c r="S25" s="1">
        <v>0</v>
      </c>
      <c r="T25" s="1">
        <f t="shared" si="17"/>
        <v>0</v>
      </c>
      <c r="U25" s="1">
        <f t="shared" si="18"/>
        <v>2029.5</v>
      </c>
      <c r="V25" s="1">
        <f t="shared" si="19"/>
        <v>20.295000000000002</v>
      </c>
      <c r="W25" s="1">
        <f t="shared" si="20"/>
        <v>101.47500000000001</v>
      </c>
      <c r="X25" s="1"/>
      <c r="Y25" s="1">
        <f t="shared" si="9"/>
        <v>0</v>
      </c>
      <c r="Z25" s="1"/>
      <c r="AA25" s="1">
        <f t="shared" si="21"/>
        <v>1907.73</v>
      </c>
      <c r="AB25" s="1"/>
      <c r="AC25" s="9">
        <v>16.5</v>
      </c>
      <c r="AD25" s="9">
        <f t="shared" si="10"/>
        <v>14.5</v>
      </c>
      <c r="AE25" s="1">
        <f t="shared" si="11"/>
        <v>2772</v>
      </c>
      <c r="AF25">
        <f t="shared" si="12"/>
        <v>239.25</v>
      </c>
      <c r="AG25">
        <f t="shared" si="13"/>
        <v>0</v>
      </c>
      <c r="AH25">
        <f t="shared" si="14"/>
        <v>3011.25</v>
      </c>
    </row>
    <row r="26" spans="1:35">
      <c r="A26" s="1">
        <v>23</v>
      </c>
      <c r="B26" s="1" t="s">
        <v>112</v>
      </c>
      <c r="C26" s="1" t="s">
        <v>49</v>
      </c>
      <c r="D26" s="1" t="s">
        <v>74</v>
      </c>
      <c r="E26" s="1" t="s">
        <v>87</v>
      </c>
      <c r="F26" s="1" t="s">
        <v>89</v>
      </c>
      <c r="G26" s="1"/>
      <c r="H26" s="1"/>
      <c r="I26" s="11" t="s">
        <v>133</v>
      </c>
      <c r="J26" s="11" t="s">
        <v>138</v>
      </c>
      <c r="K26" s="1">
        <v>15.5</v>
      </c>
      <c r="L26" s="1">
        <v>8</v>
      </c>
      <c r="M26" s="9">
        <f t="shared" si="7"/>
        <v>23.25</v>
      </c>
      <c r="N26" s="1">
        <f t="shared" si="8"/>
        <v>31</v>
      </c>
      <c r="O26" s="1">
        <v>15</v>
      </c>
      <c r="P26" s="1">
        <f t="shared" si="15"/>
        <v>1860</v>
      </c>
      <c r="Q26" s="1">
        <v>15</v>
      </c>
      <c r="R26" s="1">
        <f t="shared" si="16"/>
        <v>348.75</v>
      </c>
      <c r="S26" s="1">
        <v>10</v>
      </c>
      <c r="T26" s="1">
        <f t="shared" si="17"/>
        <v>310</v>
      </c>
      <c r="U26" s="1">
        <f t="shared" si="18"/>
        <v>2518.75</v>
      </c>
      <c r="V26" s="1">
        <f t="shared" si="19"/>
        <v>25.1875</v>
      </c>
      <c r="W26" s="1">
        <f t="shared" si="20"/>
        <v>125.9375</v>
      </c>
      <c r="X26" s="1"/>
      <c r="Y26" s="1">
        <f t="shared" si="9"/>
        <v>0</v>
      </c>
      <c r="Z26" s="1"/>
      <c r="AA26" s="1">
        <f t="shared" si="21"/>
        <v>2367.625</v>
      </c>
      <c r="AB26" s="1"/>
      <c r="AC26" s="9">
        <v>22</v>
      </c>
      <c r="AD26" s="9">
        <f t="shared" si="10"/>
        <v>20</v>
      </c>
      <c r="AE26" s="1">
        <f t="shared" si="11"/>
        <v>2640</v>
      </c>
      <c r="AF26">
        <f t="shared" si="12"/>
        <v>450</v>
      </c>
      <c r="AG26">
        <f t="shared" si="13"/>
        <v>400</v>
      </c>
      <c r="AH26">
        <f t="shared" si="14"/>
        <v>3490</v>
      </c>
    </row>
    <row r="27" spans="1:35">
      <c r="A27" s="1">
        <v>24</v>
      </c>
      <c r="B27" s="1" t="s">
        <v>113</v>
      </c>
      <c r="C27" s="1" t="s">
        <v>50</v>
      </c>
      <c r="D27" s="1" t="s">
        <v>75</v>
      </c>
      <c r="E27" s="1" t="s">
        <v>88</v>
      </c>
      <c r="F27" s="1" t="s">
        <v>89</v>
      </c>
      <c r="G27" s="1"/>
      <c r="H27" s="1"/>
      <c r="I27" s="1"/>
      <c r="J27" s="1"/>
      <c r="K27" s="1">
        <v>18</v>
      </c>
      <c r="L27" s="1">
        <v>8</v>
      </c>
      <c r="M27" s="9">
        <f t="shared" si="7"/>
        <v>27</v>
      </c>
      <c r="N27" s="1">
        <f t="shared" si="8"/>
        <v>36</v>
      </c>
      <c r="O27" s="1">
        <v>22</v>
      </c>
      <c r="P27" s="1">
        <f t="shared" si="15"/>
        <v>3168</v>
      </c>
      <c r="Q27" s="1">
        <v>57</v>
      </c>
      <c r="R27" s="1">
        <f t="shared" si="16"/>
        <v>1539</v>
      </c>
      <c r="S27" s="1">
        <v>12</v>
      </c>
      <c r="T27" s="1">
        <f t="shared" si="17"/>
        <v>432</v>
      </c>
      <c r="U27" s="1">
        <f t="shared" si="18"/>
        <v>5139</v>
      </c>
      <c r="V27" s="1">
        <f t="shared" si="19"/>
        <v>51.39</v>
      </c>
      <c r="W27" s="1">
        <f t="shared" si="20"/>
        <v>256.95</v>
      </c>
      <c r="X27" s="1">
        <v>1000</v>
      </c>
      <c r="Y27" s="1">
        <f t="shared" si="9"/>
        <v>1300</v>
      </c>
      <c r="Z27" s="1"/>
      <c r="AA27" s="1">
        <f t="shared" si="21"/>
        <v>3530.66</v>
      </c>
      <c r="AB27" s="1"/>
      <c r="AC27" s="9">
        <v>24</v>
      </c>
      <c r="AD27" s="9">
        <f t="shared" si="10"/>
        <v>22</v>
      </c>
      <c r="AE27" s="1">
        <f t="shared" si="11"/>
        <v>4224</v>
      </c>
      <c r="AF27">
        <f t="shared" si="12"/>
        <v>1881</v>
      </c>
      <c r="AG27">
        <f t="shared" si="13"/>
        <v>528</v>
      </c>
      <c r="AH27">
        <f t="shared" si="14"/>
        <v>6633</v>
      </c>
    </row>
    <row r="28" spans="1:35">
      <c r="A28" s="1">
        <v>25</v>
      </c>
      <c r="B28" s="1" t="s">
        <v>114</v>
      </c>
      <c r="C28" s="1" t="s">
        <v>51</v>
      </c>
      <c r="D28" s="1" t="s">
        <v>76</v>
      </c>
      <c r="E28" s="1" t="s">
        <v>78</v>
      </c>
      <c r="F28" s="1" t="s">
        <v>89</v>
      </c>
      <c r="G28" s="1"/>
      <c r="H28" s="1"/>
      <c r="I28" s="1"/>
      <c r="J28" s="1"/>
      <c r="K28" s="1">
        <v>18</v>
      </c>
      <c r="L28" s="1">
        <v>8</v>
      </c>
      <c r="M28" s="1">
        <f t="shared" ref="M28" si="22">K28*1.5</f>
        <v>27</v>
      </c>
      <c r="N28" s="1">
        <f t="shared" si="8"/>
        <v>36</v>
      </c>
      <c r="O28" s="1">
        <v>0</v>
      </c>
      <c r="P28" s="1">
        <f t="shared" si="15"/>
        <v>0</v>
      </c>
      <c r="Q28" s="1">
        <v>0</v>
      </c>
      <c r="R28" s="1">
        <f t="shared" si="16"/>
        <v>0</v>
      </c>
      <c r="S28" s="1">
        <v>0</v>
      </c>
      <c r="T28" s="1">
        <f t="shared" si="17"/>
        <v>0</v>
      </c>
      <c r="U28" s="1">
        <f t="shared" si="18"/>
        <v>0</v>
      </c>
      <c r="V28" s="1">
        <f t="shared" si="19"/>
        <v>0</v>
      </c>
      <c r="W28" s="1">
        <f t="shared" si="20"/>
        <v>0</v>
      </c>
      <c r="X28" s="1"/>
      <c r="Y28" s="1">
        <f t="shared" si="9"/>
        <v>0</v>
      </c>
      <c r="Z28" s="1"/>
      <c r="AA28" s="1">
        <f t="shared" si="21"/>
        <v>0</v>
      </c>
      <c r="AB28" s="1"/>
      <c r="AC28" s="5"/>
      <c r="AD28" s="1"/>
      <c r="AE28" s="1">
        <f t="shared" si="11"/>
        <v>0</v>
      </c>
      <c r="AF28">
        <f t="shared" si="12"/>
        <v>0</v>
      </c>
      <c r="AG28">
        <f t="shared" si="13"/>
        <v>0</v>
      </c>
      <c r="AH28">
        <f t="shared" si="14"/>
        <v>0</v>
      </c>
      <c r="AI28" s="8">
        <f>SUM(AH4:AH28)</f>
        <v>97874.75</v>
      </c>
    </row>
    <row r="29" spans="1:35" s="2" customFormat="1">
      <c r="A29" s="1">
        <v>26</v>
      </c>
      <c r="B29" s="3" t="s">
        <v>139</v>
      </c>
      <c r="C29" s="3" t="s">
        <v>140</v>
      </c>
      <c r="D29" s="3" t="s">
        <v>141</v>
      </c>
      <c r="E29" s="3" t="s">
        <v>81</v>
      </c>
      <c r="F29" s="3" t="s">
        <v>89</v>
      </c>
      <c r="G29" s="3"/>
      <c r="H29" s="3"/>
      <c r="I29" s="12" t="s">
        <v>142</v>
      </c>
      <c r="J29" s="12" t="s">
        <v>143</v>
      </c>
      <c r="K29" s="3">
        <v>13.5</v>
      </c>
      <c r="L29" s="3">
        <v>8</v>
      </c>
      <c r="M29" s="3">
        <f t="shared" ref="M29:M62" si="23">K29*1.5</f>
        <v>20.25</v>
      </c>
      <c r="N29" s="3">
        <v>40</v>
      </c>
      <c r="O29" s="3">
        <v>22</v>
      </c>
      <c r="P29" s="3">
        <f t="shared" si="0"/>
        <v>2376</v>
      </c>
      <c r="Q29" s="3">
        <v>35</v>
      </c>
      <c r="R29" s="3">
        <f t="shared" si="1"/>
        <v>708.75</v>
      </c>
      <c r="S29" s="3">
        <v>40</v>
      </c>
      <c r="T29" s="3">
        <f t="shared" si="2"/>
        <v>1600</v>
      </c>
      <c r="U29" s="3">
        <f t="shared" si="3"/>
        <v>4684.75</v>
      </c>
      <c r="V29" s="3">
        <f t="shared" si="4"/>
        <v>46.847500000000004</v>
      </c>
      <c r="W29" s="3">
        <f t="shared" si="5"/>
        <v>234.23750000000001</v>
      </c>
      <c r="X29" s="3">
        <v>2200</v>
      </c>
      <c r="Y29" s="3">
        <f t="shared" si="9"/>
        <v>2860</v>
      </c>
      <c r="Z29" s="3"/>
      <c r="AA29" s="3">
        <f t="shared" si="6"/>
        <v>1543.665</v>
      </c>
      <c r="AB29" s="3"/>
      <c r="AC29" s="5">
        <v>22</v>
      </c>
      <c r="AD29" s="5">
        <v>20</v>
      </c>
      <c r="AE29">
        <f t="shared" si="11"/>
        <v>3872</v>
      </c>
      <c r="AF29">
        <f t="shared" si="12"/>
        <v>1050</v>
      </c>
      <c r="AG29">
        <f t="shared" si="13"/>
        <v>1600</v>
      </c>
      <c r="AH29">
        <f t="shared" si="14"/>
        <v>6522</v>
      </c>
    </row>
    <row r="30" spans="1:35" s="2" customFormat="1">
      <c r="A30" s="1">
        <v>27</v>
      </c>
      <c r="B30" s="3" t="s">
        <v>144</v>
      </c>
      <c r="C30" s="3" t="s">
        <v>145</v>
      </c>
      <c r="D30" s="3" t="s">
        <v>146</v>
      </c>
      <c r="E30" s="3" t="s">
        <v>87</v>
      </c>
      <c r="F30" s="3" t="s">
        <v>89</v>
      </c>
      <c r="G30" s="3"/>
      <c r="H30" s="3"/>
      <c r="I30" s="12" t="s">
        <v>147</v>
      </c>
      <c r="J30" s="12" t="s">
        <v>137</v>
      </c>
      <c r="K30" s="3">
        <v>16</v>
      </c>
      <c r="L30" s="3">
        <v>8</v>
      </c>
      <c r="M30" s="3">
        <f>K30*1.5</f>
        <v>24</v>
      </c>
      <c r="N30" s="3">
        <v>16</v>
      </c>
      <c r="O30" s="3">
        <v>23</v>
      </c>
      <c r="P30" s="3">
        <f t="shared" si="0"/>
        <v>2944</v>
      </c>
      <c r="Q30" s="3">
        <v>22</v>
      </c>
      <c r="R30" s="3">
        <f t="shared" si="1"/>
        <v>528</v>
      </c>
      <c r="S30" s="3">
        <v>16</v>
      </c>
      <c r="T30" s="3">
        <f t="shared" si="2"/>
        <v>256</v>
      </c>
      <c r="U30" s="3">
        <f t="shared" si="3"/>
        <v>3728</v>
      </c>
      <c r="V30" s="3">
        <f t="shared" si="4"/>
        <v>37.28</v>
      </c>
      <c r="W30" s="3">
        <f t="shared" si="5"/>
        <v>186.4</v>
      </c>
      <c r="X30" s="3">
        <v>0</v>
      </c>
      <c r="Y30" s="3">
        <f t="shared" si="9"/>
        <v>0</v>
      </c>
      <c r="Z30" s="3"/>
      <c r="AA30" s="3">
        <f t="shared" si="6"/>
        <v>3504.3199999999997</v>
      </c>
      <c r="AB30" s="3"/>
      <c r="AC30" s="5">
        <v>22</v>
      </c>
      <c r="AD30" s="5">
        <v>20</v>
      </c>
      <c r="AE30">
        <f t="shared" si="11"/>
        <v>4048</v>
      </c>
      <c r="AF30">
        <f t="shared" si="12"/>
        <v>660</v>
      </c>
      <c r="AG30">
        <f t="shared" si="13"/>
        <v>640</v>
      </c>
      <c r="AH30">
        <f t="shared" si="14"/>
        <v>5348</v>
      </c>
    </row>
    <row r="31" spans="1:35" s="2" customFormat="1">
      <c r="A31" s="1">
        <v>28</v>
      </c>
      <c r="B31" s="3" t="s">
        <v>148</v>
      </c>
      <c r="C31" s="3" t="s">
        <v>149</v>
      </c>
      <c r="D31" s="3" t="s">
        <v>150</v>
      </c>
      <c r="E31" s="3" t="s">
        <v>87</v>
      </c>
      <c r="F31" s="3" t="s">
        <v>89</v>
      </c>
      <c r="G31" s="3"/>
      <c r="H31" s="3"/>
      <c r="I31" s="12" t="s">
        <v>151</v>
      </c>
      <c r="J31" s="12" t="s">
        <v>138</v>
      </c>
      <c r="K31" s="3">
        <v>15.5</v>
      </c>
      <c r="L31" s="3">
        <v>8</v>
      </c>
      <c r="M31" s="3">
        <f t="shared" si="23"/>
        <v>23.25</v>
      </c>
      <c r="N31" s="3">
        <v>48</v>
      </c>
      <c r="O31" s="3">
        <v>23</v>
      </c>
      <c r="P31" s="3">
        <f t="shared" si="0"/>
        <v>2852</v>
      </c>
      <c r="Q31" s="3">
        <v>45</v>
      </c>
      <c r="R31" s="3">
        <f t="shared" si="1"/>
        <v>1046.25</v>
      </c>
      <c r="S31" s="3">
        <v>48</v>
      </c>
      <c r="T31" s="3">
        <f t="shared" si="2"/>
        <v>2304</v>
      </c>
      <c r="U31" s="3">
        <f t="shared" si="3"/>
        <v>6202.25</v>
      </c>
      <c r="V31" s="3">
        <f t="shared" si="4"/>
        <v>62.022500000000001</v>
      </c>
      <c r="W31" s="3">
        <f t="shared" si="5"/>
        <v>310.11250000000001</v>
      </c>
      <c r="X31" s="3">
        <v>0</v>
      </c>
      <c r="Y31" s="3">
        <f t="shared" si="9"/>
        <v>0</v>
      </c>
      <c r="Z31" s="3"/>
      <c r="AA31" s="3">
        <f t="shared" si="6"/>
        <v>5830.1149999999998</v>
      </c>
      <c r="AB31" s="3"/>
      <c r="AC31" s="5">
        <v>22</v>
      </c>
      <c r="AD31" s="5">
        <v>20</v>
      </c>
      <c r="AE31">
        <f t="shared" si="11"/>
        <v>4048</v>
      </c>
      <c r="AF31">
        <f t="shared" si="12"/>
        <v>1350</v>
      </c>
      <c r="AG31">
        <f t="shared" si="13"/>
        <v>1920</v>
      </c>
      <c r="AH31">
        <f t="shared" si="14"/>
        <v>7318</v>
      </c>
    </row>
    <row r="32" spans="1:35" s="2" customFormat="1">
      <c r="A32" s="1">
        <v>29</v>
      </c>
      <c r="B32" s="3" t="s">
        <v>152</v>
      </c>
      <c r="C32" s="3" t="s">
        <v>153</v>
      </c>
      <c r="D32" s="3" t="s">
        <v>154</v>
      </c>
      <c r="E32" s="3" t="s">
        <v>87</v>
      </c>
      <c r="F32" s="3" t="s">
        <v>89</v>
      </c>
      <c r="G32" s="3"/>
      <c r="H32" s="3"/>
      <c r="I32" s="12" t="s">
        <v>155</v>
      </c>
      <c r="J32" s="12" t="s">
        <v>138</v>
      </c>
      <c r="K32" s="3">
        <v>16.5</v>
      </c>
      <c r="L32" s="3">
        <v>8</v>
      </c>
      <c r="M32" s="3">
        <f t="shared" si="23"/>
        <v>24.75</v>
      </c>
      <c r="N32" s="3">
        <v>24</v>
      </c>
      <c r="O32" s="3">
        <v>22</v>
      </c>
      <c r="P32" s="3">
        <f t="shared" si="0"/>
        <v>2904</v>
      </c>
      <c r="Q32" s="3">
        <v>13</v>
      </c>
      <c r="R32" s="3">
        <f t="shared" si="1"/>
        <v>321.75</v>
      </c>
      <c r="S32" s="3">
        <v>24</v>
      </c>
      <c r="T32" s="3">
        <f t="shared" si="2"/>
        <v>576</v>
      </c>
      <c r="U32" s="3">
        <f t="shared" si="3"/>
        <v>3801.75</v>
      </c>
      <c r="V32" s="3">
        <f t="shared" si="4"/>
        <v>38.017499999999998</v>
      </c>
      <c r="W32" s="3">
        <f t="shared" si="5"/>
        <v>190.08750000000001</v>
      </c>
      <c r="X32" s="3">
        <v>0</v>
      </c>
      <c r="Y32" s="3">
        <f t="shared" si="9"/>
        <v>0</v>
      </c>
      <c r="Z32" s="3"/>
      <c r="AA32" s="3">
        <f t="shared" si="6"/>
        <v>3573.645</v>
      </c>
      <c r="AB32" s="3"/>
      <c r="AC32" s="5">
        <v>22</v>
      </c>
      <c r="AD32" s="5">
        <v>20</v>
      </c>
      <c r="AE32">
        <f t="shared" si="11"/>
        <v>3872</v>
      </c>
      <c r="AF32">
        <f t="shared" si="12"/>
        <v>390</v>
      </c>
      <c r="AG32">
        <f t="shared" si="13"/>
        <v>960</v>
      </c>
      <c r="AH32">
        <f t="shared" si="14"/>
        <v>5222</v>
      </c>
    </row>
    <row r="33" spans="1:35" s="2" customFormat="1">
      <c r="A33" s="1">
        <v>30</v>
      </c>
      <c r="B33" s="3" t="s">
        <v>156</v>
      </c>
      <c r="C33" s="3" t="s">
        <v>157</v>
      </c>
      <c r="D33" s="3" t="s">
        <v>158</v>
      </c>
      <c r="E33" s="3" t="s">
        <v>81</v>
      </c>
      <c r="F33" s="3" t="s">
        <v>89</v>
      </c>
      <c r="G33" s="3"/>
      <c r="H33" s="3"/>
      <c r="I33" s="12" t="s">
        <v>159</v>
      </c>
      <c r="J33" s="12" t="s">
        <v>143</v>
      </c>
      <c r="K33" s="3">
        <v>15</v>
      </c>
      <c r="L33" s="3">
        <v>8</v>
      </c>
      <c r="M33" s="3">
        <f t="shared" si="23"/>
        <v>22.5</v>
      </c>
      <c r="N33" s="3">
        <v>44</v>
      </c>
      <c r="O33" s="3">
        <v>22</v>
      </c>
      <c r="P33" s="3">
        <f t="shared" si="0"/>
        <v>2640</v>
      </c>
      <c r="Q33" s="3">
        <v>35</v>
      </c>
      <c r="R33" s="3">
        <f t="shared" si="1"/>
        <v>787.5</v>
      </c>
      <c r="S33" s="3">
        <v>44</v>
      </c>
      <c r="T33" s="3">
        <f t="shared" si="2"/>
        <v>1936</v>
      </c>
      <c r="U33" s="3">
        <f t="shared" si="3"/>
        <v>5363.5</v>
      </c>
      <c r="V33" s="3">
        <f t="shared" si="4"/>
        <v>53.634999999999998</v>
      </c>
      <c r="W33" s="3">
        <f t="shared" si="5"/>
        <v>268.17500000000001</v>
      </c>
      <c r="X33" s="3">
        <v>2000</v>
      </c>
      <c r="Y33" s="3">
        <f t="shared" si="9"/>
        <v>2600</v>
      </c>
      <c r="Z33" s="3"/>
      <c r="AA33" s="3">
        <f t="shared" si="6"/>
        <v>2441.6899999999996</v>
      </c>
      <c r="AB33" s="3"/>
      <c r="AC33" s="5">
        <v>22</v>
      </c>
      <c r="AD33" s="5">
        <v>20</v>
      </c>
      <c r="AE33">
        <f t="shared" si="11"/>
        <v>3872</v>
      </c>
      <c r="AF33">
        <f t="shared" si="12"/>
        <v>1050</v>
      </c>
      <c r="AG33">
        <f t="shared" si="13"/>
        <v>1760</v>
      </c>
      <c r="AH33">
        <f t="shared" si="14"/>
        <v>6682</v>
      </c>
    </row>
    <row r="34" spans="1:35" s="2" customFormat="1">
      <c r="A34" s="1">
        <v>31</v>
      </c>
      <c r="B34" s="3" t="s">
        <v>160</v>
      </c>
      <c r="C34" s="3" t="s">
        <v>161</v>
      </c>
      <c r="D34" s="3" t="s">
        <v>162</v>
      </c>
      <c r="E34" s="3" t="s">
        <v>163</v>
      </c>
      <c r="F34" s="3" t="s">
        <v>89</v>
      </c>
      <c r="G34" s="3"/>
      <c r="H34" s="3"/>
      <c r="I34" s="12" t="s">
        <v>164</v>
      </c>
      <c r="J34" s="12" t="s">
        <v>138</v>
      </c>
      <c r="K34" s="3">
        <v>11</v>
      </c>
      <c r="L34" s="3">
        <v>8</v>
      </c>
      <c r="M34" s="3">
        <f t="shared" si="23"/>
        <v>16.5</v>
      </c>
      <c r="N34" s="3">
        <v>24</v>
      </c>
      <c r="O34" s="3">
        <v>23</v>
      </c>
      <c r="P34" s="3">
        <f t="shared" si="0"/>
        <v>2024</v>
      </c>
      <c r="Q34" s="3">
        <v>36</v>
      </c>
      <c r="R34" s="3">
        <f t="shared" si="1"/>
        <v>594</v>
      </c>
      <c r="S34" s="3">
        <v>24</v>
      </c>
      <c r="T34" s="3">
        <f t="shared" si="2"/>
        <v>576</v>
      </c>
      <c r="U34" s="3">
        <f t="shared" si="3"/>
        <v>3194</v>
      </c>
      <c r="V34" s="3">
        <f t="shared" si="4"/>
        <v>31.94</v>
      </c>
      <c r="W34" s="3">
        <f t="shared" si="5"/>
        <v>159.70000000000002</v>
      </c>
      <c r="X34" s="3">
        <v>2000</v>
      </c>
      <c r="Y34" s="3">
        <f t="shared" si="9"/>
        <v>2600</v>
      </c>
      <c r="Z34" s="3"/>
      <c r="AA34" s="3">
        <f t="shared" si="6"/>
        <v>402.36000000000013</v>
      </c>
      <c r="AB34" s="3"/>
      <c r="AC34" s="5">
        <v>16.5</v>
      </c>
      <c r="AD34" s="5">
        <v>14.5</v>
      </c>
      <c r="AE34">
        <f t="shared" si="11"/>
        <v>3036</v>
      </c>
      <c r="AF34">
        <f t="shared" si="12"/>
        <v>783</v>
      </c>
      <c r="AG34">
        <f t="shared" si="13"/>
        <v>696</v>
      </c>
      <c r="AH34">
        <f t="shared" si="14"/>
        <v>4515</v>
      </c>
    </row>
    <row r="35" spans="1:35" s="2" customFormat="1">
      <c r="A35" s="1">
        <v>32</v>
      </c>
      <c r="B35" s="3" t="s">
        <v>165</v>
      </c>
      <c r="C35" s="3" t="s">
        <v>166</v>
      </c>
      <c r="D35" s="3" t="s">
        <v>167</v>
      </c>
      <c r="E35" s="3" t="s">
        <v>168</v>
      </c>
      <c r="F35" s="3" t="s">
        <v>89</v>
      </c>
      <c r="G35" s="3"/>
      <c r="H35" s="3"/>
      <c r="I35" s="12" t="s">
        <v>169</v>
      </c>
      <c r="J35" s="12" t="s">
        <v>143</v>
      </c>
      <c r="K35" s="3">
        <v>12</v>
      </c>
      <c r="L35" s="3">
        <v>8</v>
      </c>
      <c r="M35" s="3">
        <f t="shared" si="23"/>
        <v>18</v>
      </c>
      <c r="N35" s="3">
        <v>24</v>
      </c>
      <c r="O35" s="3">
        <v>23</v>
      </c>
      <c r="P35" s="3">
        <f t="shared" si="0"/>
        <v>2208</v>
      </c>
      <c r="Q35" s="3">
        <v>38</v>
      </c>
      <c r="R35" s="3">
        <f t="shared" si="1"/>
        <v>684</v>
      </c>
      <c r="S35" s="3">
        <v>24</v>
      </c>
      <c r="T35" s="3">
        <f t="shared" si="2"/>
        <v>576</v>
      </c>
      <c r="U35" s="3">
        <f t="shared" si="3"/>
        <v>3468</v>
      </c>
      <c r="V35" s="3">
        <f t="shared" si="4"/>
        <v>34.68</v>
      </c>
      <c r="W35" s="3">
        <f t="shared" si="5"/>
        <v>173.4</v>
      </c>
      <c r="X35" s="3">
        <v>2400</v>
      </c>
      <c r="Y35" s="3">
        <f t="shared" si="9"/>
        <v>3120</v>
      </c>
      <c r="Z35" s="3"/>
      <c r="AA35" s="3">
        <f t="shared" si="6"/>
        <v>139.92000000000007</v>
      </c>
      <c r="AB35" s="3"/>
      <c r="AC35" s="6">
        <v>19.5</v>
      </c>
      <c r="AD35" s="6">
        <v>17.5</v>
      </c>
      <c r="AE35">
        <f t="shared" si="11"/>
        <v>3588</v>
      </c>
      <c r="AF35">
        <f t="shared" si="12"/>
        <v>997.5</v>
      </c>
      <c r="AG35">
        <f t="shared" si="13"/>
        <v>840</v>
      </c>
      <c r="AH35">
        <f t="shared" si="14"/>
        <v>5425.5</v>
      </c>
    </row>
    <row r="36" spans="1:35" s="2" customFormat="1">
      <c r="A36" s="1">
        <v>33</v>
      </c>
      <c r="B36" s="3" t="s">
        <v>170</v>
      </c>
      <c r="C36" s="3" t="s">
        <v>171</v>
      </c>
      <c r="D36" s="3" t="s">
        <v>172</v>
      </c>
      <c r="E36" s="3" t="s">
        <v>87</v>
      </c>
      <c r="F36" s="3" t="s">
        <v>89</v>
      </c>
      <c r="G36" s="3"/>
      <c r="H36" s="3"/>
      <c r="I36" s="12" t="s">
        <v>173</v>
      </c>
      <c r="J36" s="12" t="s">
        <v>137</v>
      </c>
      <c r="K36" s="3">
        <v>14</v>
      </c>
      <c r="L36" s="3">
        <v>8</v>
      </c>
      <c r="M36" s="3">
        <f t="shared" si="23"/>
        <v>21</v>
      </c>
      <c r="N36" s="3">
        <v>60</v>
      </c>
      <c r="O36" s="3">
        <v>19</v>
      </c>
      <c r="P36" s="3">
        <f t="shared" si="0"/>
        <v>2128</v>
      </c>
      <c r="Q36" s="3">
        <v>50</v>
      </c>
      <c r="R36" s="3">
        <f t="shared" si="1"/>
        <v>1050</v>
      </c>
      <c r="S36" s="3">
        <v>60</v>
      </c>
      <c r="T36" s="3">
        <f t="shared" si="2"/>
        <v>3600</v>
      </c>
      <c r="U36" s="3">
        <f t="shared" si="3"/>
        <v>6778</v>
      </c>
      <c r="V36" s="3">
        <f t="shared" si="4"/>
        <v>67.78</v>
      </c>
      <c r="W36" s="3">
        <f t="shared" si="5"/>
        <v>338.90000000000003</v>
      </c>
      <c r="X36" s="3">
        <v>2300</v>
      </c>
      <c r="Y36" s="3">
        <f t="shared" si="9"/>
        <v>2990</v>
      </c>
      <c r="Z36" s="3"/>
      <c r="AA36" s="3">
        <f t="shared" si="6"/>
        <v>3381.3200000000006</v>
      </c>
      <c r="AB36" s="3"/>
      <c r="AC36" s="5">
        <v>22</v>
      </c>
      <c r="AD36" s="5">
        <v>20</v>
      </c>
      <c r="AE36">
        <f t="shared" si="11"/>
        <v>3344</v>
      </c>
      <c r="AF36">
        <f t="shared" si="12"/>
        <v>1500</v>
      </c>
      <c r="AG36">
        <f t="shared" si="13"/>
        <v>2400</v>
      </c>
      <c r="AH36">
        <f t="shared" si="14"/>
        <v>7244</v>
      </c>
    </row>
    <row r="37" spans="1:35" s="2" customFormat="1">
      <c r="A37" s="1">
        <v>34</v>
      </c>
      <c r="B37" s="3" t="s">
        <v>174</v>
      </c>
      <c r="C37" s="3" t="s">
        <v>175</v>
      </c>
      <c r="D37" s="3" t="s">
        <v>176</v>
      </c>
      <c r="E37" s="3" t="s">
        <v>177</v>
      </c>
      <c r="F37" s="3" t="s">
        <v>89</v>
      </c>
      <c r="G37" s="3"/>
      <c r="H37" s="3"/>
      <c r="I37" s="12" t="s">
        <v>178</v>
      </c>
      <c r="J37" s="12" t="s">
        <v>138</v>
      </c>
      <c r="K37" s="3">
        <v>15.5</v>
      </c>
      <c r="L37" s="3">
        <v>8</v>
      </c>
      <c r="M37" s="3">
        <f t="shared" si="23"/>
        <v>23.25</v>
      </c>
      <c r="N37" s="3">
        <v>29</v>
      </c>
      <c r="O37" s="3">
        <v>22</v>
      </c>
      <c r="P37" s="3">
        <f t="shared" si="0"/>
        <v>2728</v>
      </c>
      <c r="Q37" s="3">
        <v>27</v>
      </c>
      <c r="R37" s="3">
        <f t="shared" si="1"/>
        <v>627.75</v>
      </c>
      <c r="S37" s="3">
        <v>29</v>
      </c>
      <c r="T37" s="3">
        <f t="shared" si="2"/>
        <v>841</v>
      </c>
      <c r="U37" s="3">
        <f t="shared" si="3"/>
        <v>4196.75</v>
      </c>
      <c r="V37" s="3">
        <f t="shared" si="4"/>
        <v>41.967500000000001</v>
      </c>
      <c r="W37" s="3">
        <f t="shared" si="5"/>
        <v>209.83750000000001</v>
      </c>
      <c r="X37" s="3">
        <v>2500</v>
      </c>
      <c r="Y37" s="3">
        <f t="shared" si="9"/>
        <v>3250</v>
      </c>
      <c r="Z37" s="3"/>
      <c r="AA37" s="3">
        <f t="shared" si="6"/>
        <v>694.94500000000016</v>
      </c>
      <c r="AB37" s="3"/>
      <c r="AC37" s="5">
        <v>22</v>
      </c>
      <c r="AD37" s="5">
        <v>20</v>
      </c>
      <c r="AE37">
        <f t="shared" si="11"/>
        <v>3872</v>
      </c>
      <c r="AF37">
        <f t="shared" si="12"/>
        <v>810</v>
      </c>
      <c r="AG37">
        <f t="shared" si="13"/>
        <v>1160</v>
      </c>
      <c r="AH37">
        <f t="shared" si="14"/>
        <v>5842</v>
      </c>
    </row>
    <row r="38" spans="1:35" s="2" customFormat="1">
      <c r="A38" s="1">
        <v>35</v>
      </c>
      <c r="B38" s="3" t="s">
        <v>179</v>
      </c>
      <c r="C38" s="3" t="s">
        <v>180</v>
      </c>
      <c r="D38" s="3" t="s">
        <v>181</v>
      </c>
      <c r="E38" s="3" t="s">
        <v>81</v>
      </c>
      <c r="F38" s="3" t="s">
        <v>89</v>
      </c>
      <c r="G38" s="3"/>
      <c r="H38" s="3"/>
      <c r="I38" s="12" t="s">
        <v>182</v>
      </c>
      <c r="J38" s="12" t="s">
        <v>135</v>
      </c>
      <c r="K38" s="3">
        <v>16</v>
      </c>
      <c r="L38" s="3">
        <v>8</v>
      </c>
      <c r="M38" s="3">
        <f t="shared" si="23"/>
        <v>24</v>
      </c>
      <c r="N38" s="3">
        <v>44</v>
      </c>
      <c r="O38" s="3">
        <v>21</v>
      </c>
      <c r="P38" s="3">
        <f t="shared" si="0"/>
        <v>2688</v>
      </c>
      <c r="Q38" s="3">
        <v>25</v>
      </c>
      <c r="R38" s="3">
        <f t="shared" si="1"/>
        <v>600</v>
      </c>
      <c r="S38" s="3">
        <v>44</v>
      </c>
      <c r="T38" s="3">
        <f t="shared" si="2"/>
        <v>1936</v>
      </c>
      <c r="U38" s="3">
        <f t="shared" si="3"/>
        <v>5224</v>
      </c>
      <c r="V38" s="3">
        <f t="shared" si="4"/>
        <v>52.24</v>
      </c>
      <c r="W38" s="3">
        <f t="shared" si="5"/>
        <v>261.2</v>
      </c>
      <c r="X38" s="3">
        <v>2600</v>
      </c>
      <c r="Y38" s="3">
        <f t="shared" si="9"/>
        <v>3380</v>
      </c>
      <c r="Z38" s="3"/>
      <c r="AA38" s="3">
        <f t="shared" si="6"/>
        <v>1530.5600000000004</v>
      </c>
      <c r="AB38" s="3"/>
      <c r="AC38" s="5">
        <v>22</v>
      </c>
      <c r="AD38" s="5">
        <v>20</v>
      </c>
      <c r="AE38">
        <f t="shared" si="11"/>
        <v>3696</v>
      </c>
      <c r="AF38">
        <f t="shared" si="12"/>
        <v>750</v>
      </c>
      <c r="AG38">
        <f t="shared" si="13"/>
        <v>1760</v>
      </c>
      <c r="AH38">
        <f t="shared" si="14"/>
        <v>6206</v>
      </c>
    </row>
    <row r="39" spans="1:35" s="2" customFormat="1">
      <c r="A39" s="1">
        <v>36</v>
      </c>
      <c r="B39" s="3" t="s">
        <v>183</v>
      </c>
      <c r="C39" s="3" t="s">
        <v>184</v>
      </c>
      <c r="D39" s="3" t="s">
        <v>185</v>
      </c>
      <c r="E39" s="3" t="s">
        <v>77</v>
      </c>
      <c r="F39" s="3" t="s">
        <v>89</v>
      </c>
      <c r="G39" s="3"/>
      <c r="H39" s="3"/>
      <c r="I39" s="12" t="s">
        <v>186</v>
      </c>
      <c r="J39" s="12" t="s">
        <v>134</v>
      </c>
      <c r="K39" s="3">
        <v>13.5</v>
      </c>
      <c r="L39" s="3">
        <v>8</v>
      </c>
      <c r="M39" s="3">
        <f t="shared" si="23"/>
        <v>20.25</v>
      </c>
      <c r="N39" s="3">
        <v>49</v>
      </c>
      <c r="O39" s="3">
        <v>22</v>
      </c>
      <c r="P39" s="3">
        <f t="shared" si="0"/>
        <v>2376</v>
      </c>
      <c r="Q39" s="3">
        <v>48</v>
      </c>
      <c r="R39" s="3">
        <f t="shared" si="1"/>
        <v>972</v>
      </c>
      <c r="S39" s="3">
        <v>49</v>
      </c>
      <c r="T39" s="3">
        <f t="shared" si="2"/>
        <v>2401</v>
      </c>
      <c r="U39" s="3">
        <f t="shared" si="3"/>
        <v>5749</v>
      </c>
      <c r="V39" s="3">
        <f t="shared" si="4"/>
        <v>57.49</v>
      </c>
      <c r="W39" s="3">
        <f t="shared" si="5"/>
        <v>287.45</v>
      </c>
      <c r="X39" s="3">
        <v>1000</v>
      </c>
      <c r="Y39" s="3">
        <f t="shared" si="9"/>
        <v>1300</v>
      </c>
      <c r="Z39" s="3"/>
      <c r="AA39" s="3">
        <f t="shared" si="6"/>
        <v>4104.0600000000004</v>
      </c>
      <c r="AB39" s="3"/>
      <c r="AC39" s="5">
        <v>19.5</v>
      </c>
      <c r="AD39" s="5">
        <v>17.5</v>
      </c>
      <c r="AE39">
        <f t="shared" si="11"/>
        <v>3432</v>
      </c>
      <c r="AF39">
        <f t="shared" si="12"/>
        <v>1260</v>
      </c>
      <c r="AG39">
        <f t="shared" si="13"/>
        <v>1715</v>
      </c>
      <c r="AH39">
        <f t="shared" si="14"/>
        <v>6407</v>
      </c>
    </row>
    <row r="40" spans="1:35" s="2" customFormat="1">
      <c r="A40" s="1">
        <v>37</v>
      </c>
      <c r="B40" s="3" t="s">
        <v>187</v>
      </c>
      <c r="C40" s="3" t="s">
        <v>188</v>
      </c>
      <c r="D40" s="3" t="s">
        <v>189</v>
      </c>
      <c r="E40" s="3" t="s">
        <v>190</v>
      </c>
      <c r="F40" s="3" t="s">
        <v>89</v>
      </c>
      <c r="G40" s="3"/>
      <c r="H40" s="3"/>
      <c r="I40" s="12" t="s">
        <v>191</v>
      </c>
      <c r="J40" s="12" t="s">
        <v>134</v>
      </c>
      <c r="K40" s="3">
        <v>18</v>
      </c>
      <c r="L40" s="3">
        <v>8</v>
      </c>
      <c r="M40" s="3">
        <f t="shared" si="23"/>
        <v>27</v>
      </c>
      <c r="N40" s="3">
        <v>32</v>
      </c>
      <c r="O40" s="3">
        <v>22</v>
      </c>
      <c r="P40" s="3">
        <f t="shared" si="0"/>
        <v>3168</v>
      </c>
      <c r="Q40" s="3">
        <v>27</v>
      </c>
      <c r="R40" s="3">
        <f t="shared" si="1"/>
        <v>729</v>
      </c>
      <c r="S40" s="3">
        <v>32</v>
      </c>
      <c r="T40" s="3">
        <f t="shared" si="2"/>
        <v>1024</v>
      </c>
      <c r="U40" s="3">
        <f t="shared" si="3"/>
        <v>4921</v>
      </c>
      <c r="V40" s="3">
        <f t="shared" si="4"/>
        <v>49.21</v>
      </c>
      <c r="W40" s="3">
        <f t="shared" si="5"/>
        <v>246.05</v>
      </c>
      <c r="X40" s="3">
        <v>1500</v>
      </c>
      <c r="Y40" s="3">
        <f t="shared" si="9"/>
        <v>1950</v>
      </c>
      <c r="Z40" s="3"/>
      <c r="AA40" s="3">
        <f t="shared" si="6"/>
        <v>2675.74</v>
      </c>
      <c r="AB40" s="3"/>
      <c r="AC40" s="5">
        <v>24</v>
      </c>
      <c r="AD40" s="5">
        <v>22</v>
      </c>
      <c r="AE40">
        <f t="shared" si="11"/>
        <v>4224</v>
      </c>
      <c r="AF40">
        <f t="shared" si="12"/>
        <v>891</v>
      </c>
      <c r="AG40">
        <f t="shared" si="13"/>
        <v>1408</v>
      </c>
      <c r="AH40">
        <f t="shared" si="14"/>
        <v>6523</v>
      </c>
    </row>
    <row r="41" spans="1:35" s="2" customFormat="1">
      <c r="A41" s="1">
        <v>38</v>
      </c>
      <c r="B41" s="3" t="s">
        <v>192</v>
      </c>
      <c r="C41" s="3" t="s">
        <v>193</v>
      </c>
      <c r="D41" s="3" t="s">
        <v>194</v>
      </c>
      <c r="E41" s="3" t="s">
        <v>78</v>
      </c>
      <c r="F41" s="3" t="s">
        <v>89</v>
      </c>
      <c r="G41" s="3"/>
      <c r="H41" s="3"/>
      <c r="I41" s="12" t="s">
        <v>195</v>
      </c>
      <c r="J41" s="12" t="s">
        <v>134</v>
      </c>
      <c r="K41" s="3">
        <v>18</v>
      </c>
      <c r="L41" s="3">
        <v>8</v>
      </c>
      <c r="M41" s="3">
        <f t="shared" si="23"/>
        <v>27</v>
      </c>
      <c r="N41" s="3">
        <v>24</v>
      </c>
      <c r="O41" s="3">
        <v>24</v>
      </c>
      <c r="P41" s="3">
        <f t="shared" si="0"/>
        <v>3456</v>
      </c>
      <c r="Q41" s="3">
        <v>31</v>
      </c>
      <c r="R41" s="3">
        <f t="shared" si="1"/>
        <v>837</v>
      </c>
      <c r="S41" s="3">
        <v>24</v>
      </c>
      <c r="T41" s="3">
        <f t="shared" si="2"/>
        <v>576</v>
      </c>
      <c r="U41" s="3">
        <f t="shared" si="3"/>
        <v>4869</v>
      </c>
      <c r="V41" s="3">
        <f t="shared" si="4"/>
        <v>48.69</v>
      </c>
      <c r="W41" s="3">
        <f t="shared" si="5"/>
        <v>243.45000000000002</v>
      </c>
      <c r="X41" s="3">
        <v>0</v>
      </c>
      <c r="Y41" s="3">
        <f t="shared" si="9"/>
        <v>0</v>
      </c>
      <c r="Z41" s="3"/>
      <c r="AA41" s="3">
        <f t="shared" si="6"/>
        <v>4576.8600000000006</v>
      </c>
      <c r="AB41" s="3"/>
      <c r="AC41" s="5">
        <v>24</v>
      </c>
      <c r="AD41" s="5">
        <v>22</v>
      </c>
      <c r="AE41">
        <f t="shared" si="11"/>
        <v>4608</v>
      </c>
      <c r="AF41">
        <f t="shared" si="12"/>
        <v>1023</v>
      </c>
      <c r="AG41">
        <f t="shared" si="13"/>
        <v>1056</v>
      </c>
      <c r="AH41">
        <f t="shared" si="14"/>
        <v>6687</v>
      </c>
    </row>
    <row r="42" spans="1:35" s="2" customFormat="1">
      <c r="A42" s="1">
        <v>39</v>
      </c>
      <c r="B42" s="3" t="s">
        <v>196</v>
      </c>
      <c r="C42" s="3" t="s">
        <v>197</v>
      </c>
      <c r="D42" s="3" t="s">
        <v>198</v>
      </c>
      <c r="E42" s="3" t="s">
        <v>81</v>
      </c>
      <c r="F42" s="3" t="s">
        <v>89</v>
      </c>
      <c r="G42" s="3"/>
      <c r="H42" s="3"/>
      <c r="I42" s="12" t="s">
        <v>199</v>
      </c>
      <c r="J42" s="12" t="s">
        <v>135</v>
      </c>
      <c r="K42" s="3">
        <v>16</v>
      </c>
      <c r="L42" s="3">
        <v>8</v>
      </c>
      <c r="M42" s="3">
        <f t="shared" si="23"/>
        <v>24</v>
      </c>
      <c r="N42" s="3">
        <v>26</v>
      </c>
      <c r="O42" s="3">
        <v>25</v>
      </c>
      <c r="P42" s="3">
        <f t="shared" si="0"/>
        <v>3200</v>
      </c>
      <c r="Q42" s="3">
        <v>30</v>
      </c>
      <c r="R42" s="3">
        <f t="shared" si="1"/>
        <v>720</v>
      </c>
      <c r="S42" s="3">
        <v>26</v>
      </c>
      <c r="T42" s="3">
        <f t="shared" si="2"/>
        <v>676</v>
      </c>
      <c r="U42" s="3">
        <f t="shared" si="3"/>
        <v>4596</v>
      </c>
      <c r="V42" s="3">
        <f t="shared" si="4"/>
        <v>45.96</v>
      </c>
      <c r="W42" s="3">
        <f t="shared" si="5"/>
        <v>229.8</v>
      </c>
      <c r="X42" s="3">
        <v>1000</v>
      </c>
      <c r="Y42" s="3">
        <f t="shared" si="9"/>
        <v>1300</v>
      </c>
      <c r="Z42" s="3"/>
      <c r="AA42" s="3">
        <f t="shared" si="6"/>
        <v>3020.24</v>
      </c>
      <c r="AB42" s="3"/>
      <c r="AC42" s="5">
        <v>22</v>
      </c>
      <c r="AD42" s="5">
        <v>20</v>
      </c>
      <c r="AE42">
        <f t="shared" si="11"/>
        <v>4400</v>
      </c>
      <c r="AF42">
        <f t="shared" si="12"/>
        <v>900</v>
      </c>
      <c r="AG42">
        <f t="shared" si="13"/>
        <v>1040</v>
      </c>
      <c r="AH42">
        <f t="shared" si="14"/>
        <v>6340</v>
      </c>
    </row>
    <row r="43" spans="1:35" s="2" customFormat="1">
      <c r="A43" s="1">
        <v>40</v>
      </c>
      <c r="B43" s="3" t="s">
        <v>200</v>
      </c>
      <c r="C43" s="3" t="s">
        <v>201</v>
      </c>
      <c r="D43" s="3" t="s">
        <v>202</v>
      </c>
      <c r="E43" s="3" t="s">
        <v>177</v>
      </c>
      <c r="F43" s="3" t="s">
        <v>89</v>
      </c>
      <c r="G43" s="3"/>
      <c r="H43" s="3"/>
      <c r="I43" s="12" t="s">
        <v>203</v>
      </c>
      <c r="J43" s="12" t="s">
        <v>137</v>
      </c>
      <c r="K43" s="3">
        <v>16</v>
      </c>
      <c r="L43" s="3">
        <v>8</v>
      </c>
      <c r="M43" s="3">
        <f t="shared" si="23"/>
        <v>24</v>
      </c>
      <c r="N43" s="3">
        <v>24</v>
      </c>
      <c r="O43" s="3">
        <v>21</v>
      </c>
      <c r="P43" s="3">
        <f t="shared" si="0"/>
        <v>2688</v>
      </c>
      <c r="Q43" s="3">
        <v>15</v>
      </c>
      <c r="R43" s="3">
        <f t="shared" si="1"/>
        <v>360</v>
      </c>
      <c r="S43" s="3">
        <v>24</v>
      </c>
      <c r="T43" s="3">
        <f t="shared" si="2"/>
        <v>576</v>
      </c>
      <c r="U43" s="3">
        <f t="shared" si="3"/>
        <v>3624</v>
      </c>
      <c r="V43" s="3">
        <f t="shared" si="4"/>
        <v>36.24</v>
      </c>
      <c r="W43" s="3">
        <f t="shared" si="5"/>
        <v>181.20000000000002</v>
      </c>
      <c r="X43" s="3">
        <v>0</v>
      </c>
      <c r="Y43" s="3">
        <f t="shared" si="9"/>
        <v>0</v>
      </c>
      <c r="Z43" s="3"/>
      <c r="AA43" s="3">
        <f t="shared" si="6"/>
        <v>3406.5600000000004</v>
      </c>
      <c r="AB43" s="3"/>
      <c r="AC43" s="5">
        <v>22</v>
      </c>
      <c r="AD43" s="5">
        <v>20</v>
      </c>
      <c r="AE43">
        <f t="shared" si="11"/>
        <v>3696</v>
      </c>
      <c r="AF43">
        <f t="shared" si="12"/>
        <v>450</v>
      </c>
      <c r="AG43">
        <f t="shared" si="13"/>
        <v>960</v>
      </c>
      <c r="AH43">
        <f t="shared" si="14"/>
        <v>5106</v>
      </c>
    </row>
    <row r="44" spans="1:35" s="2" customFormat="1">
      <c r="A44" s="1">
        <v>41</v>
      </c>
      <c r="B44" s="3" t="s">
        <v>204</v>
      </c>
      <c r="C44" s="3" t="s">
        <v>205</v>
      </c>
      <c r="D44" s="3" t="s">
        <v>206</v>
      </c>
      <c r="E44" s="3" t="s">
        <v>177</v>
      </c>
      <c r="F44" s="3" t="s">
        <v>89</v>
      </c>
      <c r="G44" s="3"/>
      <c r="H44" s="3"/>
      <c r="I44" s="12" t="s">
        <v>207</v>
      </c>
      <c r="J44" s="12" t="s">
        <v>138</v>
      </c>
      <c r="K44" s="3">
        <v>16</v>
      </c>
      <c r="L44" s="3">
        <v>8</v>
      </c>
      <c r="M44" s="3">
        <f t="shared" si="23"/>
        <v>24</v>
      </c>
      <c r="N44" s="3">
        <v>24</v>
      </c>
      <c r="O44" s="3">
        <v>23</v>
      </c>
      <c r="P44" s="3">
        <f t="shared" si="0"/>
        <v>2944</v>
      </c>
      <c r="Q44" s="3">
        <v>16</v>
      </c>
      <c r="R44" s="3">
        <f t="shared" si="1"/>
        <v>384</v>
      </c>
      <c r="S44" s="3">
        <v>24</v>
      </c>
      <c r="T44" s="3">
        <f t="shared" si="2"/>
        <v>576</v>
      </c>
      <c r="U44" s="3">
        <f t="shared" si="3"/>
        <v>3904</v>
      </c>
      <c r="V44" s="3">
        <f t="shared" si="4"/>
        <v>39.04</v>
      </c>
      <c r="W44" s="3">
        <f t="shared" si="5"/>
        <v>195.20000000000002</v>
      </c>
      <c r="X44" s="3">
        <v>500</v>
      </c>
      <c r="Y44" s="3">
        <f t="shared" si="9"/>
        <v>650</v>
      </c>
      <c r="Z44" s="3"/>
      <c r="AA44" s="3">
        <f t="shared" si="6"/>
        <v>3019.76</v>
      </c>
      <c r="AB44" s="3"/>
      <c r="AC44" s="5">
        <v>24</v>
      </c>
      <c r="AD44" s="5">
        <v>22</v>
      </c>
      <c r="AE44">
        <f t="shared" si="11"/>
        <v>4416</v>
      </c>
      <c r="AF44">
        <f t="shared" si="12"/>
        <v>528</v>
      </c>
      <c r="AG44">
        <f t="shared" si="13"/>
        <v>1056</v>
      </c>
      <c r="AH44">
        <f t="shared" si="14"/>
        <v>6000</v>
      </c>
    </row>
    <row r="45" spans="1:35" s="2" customFormat="1">
      <c r="A45" s="1">
        <v>42</v>
      </c>
      <c r="B45" s="3" t="s">
        <v>208</v>
      </c>
      <c r="C45" s="3" t="s">
        <v>209</v>
      </c>
      <c r="D45" s="3" t="s">
        <v>210</v>
      </c>
      <c r="E45" s="3" t="s">
        <v>78</v>
      </c>
      <c r="F45" s="3" t="s">
        <v>89</v>
      </c>
      <c r="G45" s="3"/>
      <c r="H45" s="3"/>
      <c r="I45" s="12" t="s">
        <v>211</v>
      </c>
      <c r="J45" s="12" t="s">
        <v>138</v>
      </c>
      <c r="K45" s="3">
        <v>18</v>
      </c>
      <c r="L45" s="3">
        <v>8</v>
      </c>
      <c r="M45" s="3">
        <f t="shared" si="23"/>
        <v>27</v>
      </c>
      <c r="N45" s="3">
        <v>32</v>
      </c>
      <c r="O45" s="3">
        <v>22</v>
      </c>
      <c r="P45" s="3">
        <f t="shared" si="0"/>
        <v>3168</v>
      </c>
      <c r="Q45" s="3">
        <v>27</v>
      </c>
      <c r="R45" s="3">
        <f t="shared" si="1"/>
        <v>729</v>
      </c>
      <c r="S45" s="3">
        <v>32</v>
      </c>
      <c r="T45" s="3">
        <f t="shared" si="2"/>
        <v>1024</v>
      </c>
      <c r="U45" s="3">
        <f t="shared" si="3"/>
        <v>4921</v>
      </c>
      <c r="V45" s="3">
        <f t="shared" si="4"/>
        <v>49.21</v>
      </c>
      <c r="W45" s="3">
        <f t="shared" si="5"/>
        <v>246.05</v>
      </c>
      <c r="X45" s="3">
        <v>0</v>
      </c>
      <c r="Y45" s="3">
        <f t="shared" si="9"/>
        <v>0</v>
      </c>
      <c r="Z45" s="3"/>
      <c r="AA45" s="3">
        <f t="shared" si="6"/>
        <v>4625.74</v>
      </c>
      <c r="AB45" s="3"/>
      <c r="AC45" s="5">
        <v>24</v>
      </c>
      <c r="AD45" s="5">
        <v>22</v>
      </c>
      <c r="AE45">
        <f t="shared" si="11"/>
        <v>4224</v>
      </c>
      <c r="AF45">
        <f t="shared" si="12"/>
        <v>891</v>
      </c>
      <c r="AG45">
        <f t="shared" si="13"/>
        <v>1408</v>
      </c>
      <c r="AH45">
        <f t="shared" si="14"/>
        <v>6523</v>
      </c>
    </row>
    <row r="46" spans="1:35" s="2" customFormat="1">
      <c r="A46" s="1">
        <v>43</v>
      </c>
      <c r="B46" s="3" t="s">
        <v>212</v>
      </c>
      <c r="C46" s="3" t="s">
        <v>213</v>
      </c>
      <c r="D46" s="3" t="s">
        <v>214</v>
      </c>
      <c r="E46" s="3" t="s">
        <v>215</v>
      </c>
      <c r="F46" s="3" t="s">
        <v>89</v>
      </c>
      <c r="G46" s="3"/>
      <c r="H46" s="3"/>
      <c r="I46" s="12" t="s">
        <v>216</v>
      </c>
      <c r="J46" s="12" t="s">
        <v>135</v>
      </c>
      <c r="K46" s="3">
        <v>18</v>
      </c>
      <c r="L46" s="3">
        <v>8</v>
      </c>
      <c r="M46" s="3">
        <f t="shared" si="23"/>
        <v>27</v>
      </c>
      <c r="N46" s="3">
        <v>8</v>
      </c>
      <c r="O46" s="3">
        <v>19</v>
      </c>
      <c r="P46" s="3">
        <f t="shared" si="0"/>
        <v>2736</v>
      </c>
      <c r="Q46" s="3">
        <v>24</v>
      </c>
      <c r="R46" s="3">
        <f t="shared" si="1"/>
        <v>648</v>
      </c>
      <c r="S46" s="3">
        <v>8</v>
      </c>
      <c r="T46" s="3">
        <f t="shared" si="2"/>
        <v>64</v>
      </c>
      <c r="U46" s="3">
        <f t="shared" si="3"/>
        <v>3448</v>
      </c>
      <c r="V46" s="3">
        <f t="shared" si="4"/>
        <v>34.480000000000004</v>
      </c>
      <c r="W46" s="3">
        <f t="shared" si="5"/>
        <v>172.4</v>
      </c>
      <c r="X46" s="3">
        <v>400</v>
      </c>
      <c r="Y46" s="3">
        <f t="shared" si="9"/>
        <v>520</v>
      </c>
      <c r="Z46" s="3"/>
      <c r="AA46" s="3">
        <f t="shared" si="6"/>
        <v>2721.12</v>
      </c>
      <c r="AB46" s="3"/>
      <c r="AC46" s="5">
        <v>24</v>
      </c>
      <c r="AD46" s="5">
        <v>22</v>
      </c>
      <c r="AE46">
        <f t="shared" si="11"/>
        <v>3648</v>
      </c>
      <c r="AF46">
        <f t="shared" si="12"/>
        <v>792</v>
      </c>
      <c r="AG46">
        <f t="shared" si="13"/>
        <v>352</v>
      </c>
      <c r="AH46">
        <f t="shared" si="14"/>
        <v>4792</v>
      </c>
      <c r="AI46" s="7">
        <f>SUM(AH29:AH46)</f>
        <v>108702.5</v>
      </c>
    </row>
    <row r="47" spans="1:35">
      <c r="A47" s="1">
        <v>44</v>
      </c>
      <c r="B47" s="1" t="s">
        <v>219</v>
      </c>
      <c r="C47" s="1" t="s">
        <v>217</v>
      </c>
      <c r="D47" s="1" t="s">
        <v>218</v>
      </c>
      <c r="E47" s="1" t="s">
        <v>220</v>
      </c>
      <c r="F47" s="3" t="s">
        <v>221</v>
      </c>
      <c r="G47" s="11" t="s">
        <v>222</v>
      </c>
      <c r="H47" s="1"/>
      <c r="I47" s="11" t="s">
        <v>222</v>
      </c>
      <c r="J47" s="1"/>
      <c r="K47" s="1">
        <v>18</v>
      </c>
      <c r="L47" s="3">
        <v>8</v>
      </c>
      <c r="M47" s="3">
        <f t="shared" si="23"/>
        <v>27</v>
      </c>
      <c r="N47" s="1"/>
      <c r="O47" s="1">
        <v>26</v>
      </c>
      <c r="P47" s="3">
        <f t="shared" si="0"/>
        <v>3744</v>
      </c>
      <c r="Q47" s="1">
        <v>30</v>
      </c>
      <c r="R47" s="3">
        <f t="shared" si="1"/>
        <v>810</v>
      </c>
      <c r="S47" s="1">
        <v>0</v>
      </c>
      <c r="T47" s="3">
        <f t="shared" si="2"/>
        <v>0</v>
      </c>
      <c r="U47" s="3">
        <f t="shared" si="3"/>
        <v>4554</v>
      </c>
      <c r="V47" s="3">
        <f t="shared" si="4"/>
        <v>45.54</v>
      </c>
      <c r="W47" s="3">
        <f t="shared" si="5"/>
        <v>227.70000000000002</v>
      </c>
      <c r="X47" s="1"/>
      <c r="Y47" s="3">
        <f t="shared" si="9"/>
        <v>0</v>
      </c>
      <c r="Z47" s="1"/>
      <c r="AA47" s="3">
        <f t="shared" si="6"/>
        <v>4280.76</v>
      </c>
      <c r="AC47" s="9">
        <v>24</v>
      </c>
      <c r="AD47" s="9">
        <f>AC47-2</f>
        <v>22</v>
      </c>
      <c r="AE47">
        <f t="shared" si="11"/>
        <v>4992</v>
      </c>
      <c r="AF47">
        <f t="shared" si="12"/>
        <v>990</v>
      </c>
      <c r="AG47">
        <f t="shared" si="13"/>
        <v>0</v>
      </c>
      <c r="AH47">
        <f t="shared" si="14"/>
        <v>5982</v>
      </c>
    </row>
    <row r="48" spans="1:35">
      <c r="A48" s="1">
        <v>45</v>
      </c>
      <c r="B48" s="1" t="s">
        <v>224</v>
      </c>
      <c r="C48" s="1" t="s">
        <v>223</v>
      </c>
      <c r="D48" s="1"/>
      <c r="E48" s="1" t="s">
        <v>79</v>
      </c>
      <c r="F48" s="1" t="s">
        <v>221</v>
      </c>
      <c r="G48" s="11" t="s">
        <v>225</v>
      </c>
      <c r="H48" s="1"/>
      <c r="I48" s="11" t="s">
        <v>225</v>
      </c>
      <c r="J48" s="1"/>
      <c r="K48" s="1">
        <v>11</v>
      </c>
      <c r="L48" s="1">
        <v>8</v>
      </c>
      <c r="M48" s="1">
        <f t="shared" si="23"/>
        <v>16.5</v>
      </c>
      <c r="N48" s="1">
        <f t="shared" ref="N48:N62" si="24">K48*2</f>
        <v>22</v>
      </c>
      <c r="O48" s="1">
        <v>20</v>
      </c>
      <c r="P48" s="1">
        <f t="shared" si="0"/>
        <v>1760</v>
      </c>
      <c r="Q48" s="1">
        <v>9</v>
      </c>
      <c r="R48" s="1">
        <f t="shared" si="1"/>
        <v>148.5</v>
      </c>
      <c r="S48" s="1">
        <v>0</v>
      </c>
      <c r="T48" s="1">
        <f t="shared" si="2"/>
        <v>0</v>
      </c>
      <c r="U48" s="1">
        <f t="shared" si="3"/>
        <v>1908.5</v>
      </c>
      <c r="V48" s="1">
        <f t="shared" si="4"/>
        <v>19.085000000000001</v>
      </c>
      <c r="W48" s="1">
        <f t="shared" si="5"/>
        <v>95.425000000000011</v>
      </c>
      <c r="X48" s="1">
        <v>0</v>
      </c>
      <c r="Y48" s="1">
        <f t="shared" si="9"/>
        <v>0</v>
      </c>
      <c r="Z48" s="1"/>
      <c r="AA48" s="1">
        <f t="shared" si="6"/>
        <v>1793.99</v>
      </c>
      <c r="AC48" s="9">
        <v>16.5</v>
      </c>
      <c r="AD48" s="9">
        <f t="shared" ref="AD48:AD62" si="25">AC48-2</f>
        <v>14.5</v>
      </c>
      <c r="AE48">
        <f t="shared" si="11"/>
        <v>2640</v>
      </c>
      <c r="AF48">
        <f t="shared" si="12"/>
        <v>195.75</v>
      </c>
      <c r="AG48">
        <f t="shared" si="13"/>
        <v>0</v>
      </c>
      <c r="AH48">
        <f t="shared" si="14"/>
        <v>2835.75</v>
      </c>
    </row>
    <row r="49" spans="1:35">
      <c r="A49" s="1">
        <v>46</v>
      </c>
      <c r="B49" s="1" t="s">
        <v>227</v>
      </c>
      <c r="C49" s="1" t="s">
        <v>226</v>
      </c>
      <c r="D49" s="1"/>
      <c r="E49" s="1" t="s">
        <v>228</v>
      </c>
      <c r="F49" s="1" t="s">
        <v>221</v>
      </c>
      <c r="G49" s="11" t="s">
        <v>229</v>
      </c>
      <c r="H49" s="1"/>
      <c r="I49" s="11" t="s">
        <v>229</v>
      </c>
      <c r="J49" s="1"/>
      <c r="K49" s="1">
        <v>30</v>
      </c>
      <c r="L49" s="1">
        <v>8</v>
      </c>
      <c r="M49" s="1">
        <f t="shared" si="23"/>
        <v>45</v>
      </c>
      <c r="N49" s="1">
        <f t="shared" si="24"/>
        <v>60</v>
      </c>
      <c r="O49" s="1">
        <v>19</v>
      </c>
      <c r="P49" s="1">
        <f t="shared" si="0"/>
        <v>4560</v>
      </c>
      <c r="Q49" s="1">
        <v>33</v>
      </c>
      <c r="R49" s="1">
        <f t="shared" si="1"/>
        <v>1485</v>
      </c>
      <c r="S49" s="1">
        <v>28</v>
      </c>
      <c r="T49" s="1">
        <f t="shared" si="2"/>
        <v>1680</v>
      </c>
      <c r="U49" s="1">
        <f t="shared" si="3"/>
        <v>7725</v>
      </c>
      <c r="V49" s="1">
        <f t="shared" si="4"/>
        <v>77.25</v>
      </c>
      <c r="W49" s="1">
        <f t="shared" si="5"/>
        <v>386.25</v>
      </c>
      <c r="X49" s="1">
        <v>0</v>
      </c>
      <c r="Y49" s="1">
        <f t="shared" si="9"/>
        <v>0</v>
      </c>
      <c r="Z49" s="1"/>
      <c r="AA49" s="1">
        <f t="shared" si="6"/>
        <v>7261.5</v>
      </c>
      <c r="AC49" s="9">
        <v>35</v>
      </c>
      <c r="AD49" s="9">
        <f t="shared" si="25"/>
        <v>33</v>
      </c>
      <c r="AE49">
        <f t="shared" si="11"/>
        <v>5320</v>
      </c>
      <c r="AF49">
        <f t="shared" si="12"/>
        <v>1633.5</v>
      </c>
      <c r="AG49">
        <f t="shared" si="13"/>
        <v>1848</v>
      </c>
      <c r="AH49">
        <f t="shared" si="14"/>
        <v>8801.5</v>
      </c>
    </row>
    <row r="50" spans="1:35">
      <c r="A50" s="1">
        <v>47</v>
      </c>
      <c r="B50" s="1" t="s">
        <v>231</v>
      </c>
      <c r="C50" s="1" t="s">
        <v>230</v>
      </c>
      <c r="D50" s="1"/>
      <c r="E50" s="1" t="s">
        <v>228</v>
      </c>
      <c r="F50" s="1" t="s">
        <v>221</v>
      </c>
      <c r="G50" s="11" t="s">
        <v>232</v>
      </c>
      <c r="H50" s="1"/>
      <c r="I50" s="11" t="s">
        <v>232</v>
      </c>
      <c r="J50" s="1"/>
      <c r="K50" s="1">
        <v>30</v>
      </c>
      <c r="L50" s="1">
        <v>8</v>
      </c>
      <c r="M50" s="1">
        <f t="shared" si="23"/>
        <v>45</v>
      </c>
      <c r="N50" s="1">
        <f t="shared" si="24"/>
        <v>60</v>
      </c>
      <c r="O50" s="1">
        <v>21</v>
      </c>
      <c r="P50" s="1">
        <f t="shared" si="0"/>
        <v>5040</v>
      </c>
      <c r="Q50" s="1">
        <v>23</v>
      </c>
      <c r="R50" s="1">
        <f t="shared" si="1"/>
        <v>1035</v>
      </c>
      <c r="S50" s="1">
        <v>26</v>
      </c>
      <c r="T50" s="1">
        <f t="shared" si="2"/>
        <v>1560</v>
      </c>
      <c r="U50" s="1">
        <f t="shared" si="3"/>
        <v>7635</v>
      </c>
      <c r="V50" s="1">
        <f t="shared" si="4"/>
        <v>76.350000000000009</v>
      </c>
      <c r="W50" s="1">
        <f t="shared" si="5"/>
        <v>381.75</v>
      </c>
      <c r="X50" s="1">
        <v>0</v>
      </c>
      <c r="Y50" s="1">
        <f t="shared" si="9"/>
        <v>0</v>
      </c>
      <c r="Z50" s="1"/>
      <c r="AA50" s="1">
        <f t="shared" si="6"/>
        <v>7176.9</v>
      </c>
      <c r="AC50" s="9">
        <v>35</v>
      </c>
      <c r="AD50" s="9">
        <f t="shared" si="25"/>
        <v>33</v>
      </c>
      <c r="AE50">
        <f t="shared" si="11"/>
        <v>5880</v>
      </c>
      <c r="AF50">
        <f t="shared" si="12"/>
        <v>1138.5</v>
      </c>
      <c r="AG50">
        <f t="shared" si="13"/>
        <v>1716</v>
      </c>
      <c r="AH50">
        <f t="shared" si="14"/>
        <v>8734.5</v>
      </c>
    </row>
    <row r="51" spans="1:35">
      <c r="A51" s="1">
        <v>48</v>
      </c>
      <c r="B51" s="1" t="s">
        <v>234</v>
      </c>
      <c r="C51" s="1" t="s">
        <v>233</v>
      </c>
      <c r="D51" s="1"/>
      <c r="E51" s="1" t="s">
        <v>235</v>
      </c>
      <c r="F51" s="1" t="s">
        <v>221</v>
      </c>
      <c r="G51" s="11" t="s">
        <v>236</v>
      </c>
      <c r="H51" s="1"/>
      <c r="I51" s="11" t="s">
        <v>236</v>
      </c>
      <c r="J51" s="1"/>
      <c r="K51" s="1">
        <v>18</v>
      </c>
      <c r="L51" s="1">
        <v>8</v>
      </c>
      <c r="M51" s="1">
        <f t="shared" si="23"/>
        <v>27</v>
      </c>
      <c r="N51" s="1">
        <f t="shared" si="24"/>
        <v>36</v>
      </c>
      <c r="O51" s="1">
        <v>25</v>
      </c>
      <c r="P51" s="1">
        <f t="shared" si="0"/>
        <v>3600</v>
      </c>
      <c r="Q51" s="1">
        <v>64</v>
      </c>
      <c r="R51" s="1">
        <f t="shared" si="1"/>
        <v>1728</v>
      </c>
      <c r="S51" s="1">
        <v>40</v>
      </c>
      <c r="T51" s="1">
        <f t="shared" si="2"/>
        <v>1440</v>
      </c>
      <c r="U51" s="1">
        <f t="shared" si="3"/>
        <v>6768</v>
      </c>
      <c r="V51" s="1">
        <f t="shared" si="4"/>
        <v>67.680000000000007</v>
      </c>
      <c r="W51" s="1">
        <f t="shared" si="5"/>
        <v>338.40000000000003</v>
      </c>
      <c r="X51" s="1">
        <v>0</v>
      </c>
      <c r="Y51" s="1">
        <f t="shared" si="9"/>
        <v>0</v>
      </c>
      <c r="Z51" s="1"/>
      <c r="AA51" s="1">
        <f t="shared" si="6"/>
        <v>6361.92</v>
      </c>
      <c r="AC51" s="9">
        <v>24</v>
      </c>
      <c r="AD51" s="9">
        <f t="shared" si="25"/>
        <v>22</v>
      </c>
      <c r="AE51">
        <f t="shared" si="11"/>
        <v>4800</v>
      </c>
      <c r="AF51">
        <f t="shared" si="12"/>
        <v>2112</v>
      </c>
      <c r="AG51">
        <f t="shared" si="13"/>
        <v>1760</v>
      </c>
      <c r="AH51">
        <f t="shared" si="14"/>
        <v>8672</v>
      </c>
    </row>
    <row r="52" spans="1:35">
      <c r="A52" s="1">
        <v>49</v>
      </c>
      <c r="B52" s="1" t="s">
        <v>238</v>
      </c>
      <c r="C52" s="1" t="s">
        <v>237</v>
      </c>
      <c r="D52" s="1"/>
      <c r="E52" s="1" t="s">
        <v>77</v>
      </c>
      <c r="F52" s="1" t="s">
        <v>221</v>
      </c>
      <c r="G52" s="11" t="s">
        <v>239</v>
      </c>
      <c r="H52" s="1"/>
      <c r="I52" s="11" t="s">
        <v>239</v>
      </c>
      <c r="J52" s="1"/>
      <c r="K52" s="1">
        <v>13</v>
      </c>
      <c r="L52" s="1">
        <v>8</v>
      </c>
      <c r="M52" s="1">
        <f t="shared" si="23"/>
        <v>19.5</v>
      </c>
      <c r="N52" s="1">
        <f t="shared" si="24"/>
        <v>26</v>
      </c>
      <c r="O52" s="1">
        <v>26</v>
      </c>
      <c r="P52" s="1">
        <f t="shared" si="0"/>
        <v>2704</v>
      </c>
      <c r="Q52" s="1">
        <v>16</v>
      </c>
      <c r="R52" s="1">
        <f t="shared" si="1"/>
        <v>312</v>
      </c>
      <c r="S52" s="1">
        <v>23</v>
      </c>
      <c r="T52" s="1">
        <f t="shared" si="2"/>
        <v>598</v>
      </c>
      <c r="U52" s="1">
        <f t="shared" si="3"/>
        <v>3614</v>
      </c>
      <c r="V52" s="1">
        <f t="shared" si="4"/>
        <v>36.14</v>
      </c>
      <c r="W52" s="1">
        <f t="shared" si="5"/>
        <v>180.70000000000002</v>
      </c>
      <c r="X52" s="1">
        <v>650</v>
      </c>
      <c r="Y52" s="1">
        <f t="shared" si="9"/>
        <v>845</v>
      </c>
      <c r="Z52" s="1"/>
      <c r="AA52" s="1">
        <f t="shared" si="6"/>
        <v>2552.1600000000003</v>
      </c>
      <c r="AC52" s="9">
        <v>19.5</v>
      </c>
      <c r="AD52" s="9">
        <f t="shared" si="25"/>
        <v>17.5</v>
      </c>
      <c r="AE52">
        <f t="shared" si="11"/>
        <v>4056</v>
      </c>
      <c r="AF52">
        <f t="shared" si="12"/>
        <v>420</v>
      </c>
      <c r="AG52">
        <f t="shared" si="13"/>
        <v>805</v>
      </c>
      <c r="AH52">
        <f t="shared" si="14"/>
        <v>5281</v>
      </c>
    </row>
    <row r="53" spans="1:35">
      <c r="A53" s="1">
        <v>50</v>
      </c>
      <c r="B53" s="1" t="s">
        <v>241</v>
      </c>
      <c r="C53" s="1" t="s">
        <v>240</v>
      </c>
      <c r="D53" s="1"/>
      <c r="E53" s="1" t="s">
        <v>77</v>
      </c>
      <c r="F53" s="1" t="s">
        <v>221</v>
      </c>
      <c r="G53" s="11" t="s">
        <v>242</v>
      </c>
      <c r="H53" s="1"/>
      <c r="I53" s="11" t="s">
        <v>242</v>
      </c>
      <c r="J53" s="1"/>
      <c r="K53" s="1">
        <v>13</v>
      </c>
      <c r="L53" s="1">
        <v>8</v>
      </c>
      <c r="M53" s="1">
        <f t="shared" si="23"/>
        <v>19.5</v>
      </c>
      <c r="N53" s="1">
        <f t="shared" si="24"/>
        <v>26</v>
      </c>
      <c r="O53" s="1">
        <v>25</v>
      </c>
      <c r="P53" s="1">
        <f t="shared" si="0"/>
        <v>2600</v>
      </c>
      <c r="Q53" s="1">
        <v>26</v>
      </c>
      <c r="R53" s="1">
        <f t="shared" si="1"/>
        <v>507</v>
      </c>
      <c r="S53" s="1">
        <v>17</v>
      </c>
      <c r="T53" s="1">
        <f t="shared" si="2"/>
        <v>442</v>
      </c>
      <c r="U53" s="1">
        <f t="shared" si="3"/>
        <v>3549</v>
      </c>
      <c r="V53" s="1">
        <f t="shared" si="4"/>
        <v>35.49</v>
      </c>
      <c r="W53" s="1">
        <f t="shared" si="5"/>
        <v>177.45000000000002</v>
      </c>
      <c r="X53" s="1">
        <v>650</v>
      </c>
      <c r="Y53" s="1">
        <f t="shared" si="9"/>
        <v>845</v>
      </c>
      <c r="Z53" s="1"/>
      <c r="AA53" s="1">
        <f t="shared" si="6"/>
        <v>2491.0600000000004</v>
      </c>
      <c r="AC53" s="9">
        <v>19.5</v>
      </c>
      <c r="AD53" s="9">
        <f t="shared" si="25"/>
        <v>17.5</v>
      </c>
      <c r="AE53">
        <f t="shared" si="11"/>
        <v>3900</v>
      </c>
      <c r="AF53">
        <f t="shared" si="12"/>
        <v>682.5</v>
      </c>
      <c r="AG53">
        <f t="shared" si="13"/>
        <v>595</v>
      </c>
      <c r="AH53">
        <f t="shared" si="14"/>
        <v>5177.5</v>
      </c>
    </row>
    <row r="54" spans="1:35">
      <c r="A54" s="1">
        <v>51</v>
      </c>
      <c r="B54" s="1" t="s">
        <v>244</v>
      </c>
      <c r="C54" s="1" t="s">
        <v>243</v>
      </c>
      <c r="D54" s="1"/>
      <c r="E54" s="1" t="s">
        <v>79</v>
      </c>
      <c r="F54" s="1" t="s">
        <v>221</v>
      </c>
      <c r="G54" s="11" t="s">
        <v>245</v>
      </c>
      <c r="H54" s="1"/>
      <c r="I54" s="11" t="s">
        <v>245</v>
      </c>
      <c r="J54" s="1"/>
      <c r="K54" s="1">
        <v>11</v>
      </c>
      <c r="L54" s="1">
        <v>8</v>
      </c>
      <c r="M54" s="1">
        <f t="shared" si="23"/>
        <v>16.5</v>
      </c>
      <c r="N54" s="1">
        <f t="shared" si="24"/>
        <v>22</v>
      </c>
      <c r="O54" s="1">
        <v>26</v>
      </c>
      <c r="P54" s="1">
        <f t="shared" si="0"/>
        <v>2288</v>
      </c>
      <c r="Q54" s="1">
        <v>48</v>
      </c>
      <c r="R54" s="1">
        <f t="shared" si="1"/>
        <v>792</v>
      </c>
      <c r="S54" s="1">
        <v>41</v>
      </c>
      <c r="T54" s="1">
        <f t="shared" si="2"/>
        <v>902</v>
      </c>
      <c r="U54" s="1">
        <f t="shared" si="3"/>
        <v>3982</v>
      </c>
      <c r="V54" s="1">
        <f t="shared" si="4"/>
        <v>39.82</v>
      </c>
      <c r="W54" s="1">
        <f t="shared" si="5"/>
        <v>199.10000000000002</v>
      </c>
      <c r="X54" s="1">
        <v>0</v>
      </c>
      <c r="Y54" s="1">
        <f t="shared" si="9"/>
        <v>0</v>
      </c>
      <c r="Z54" s="1"/>
      <c r="AA54" s="1">
        <f t="shared" si="6"/>
        <v>3743.08</v>
      </c>
      <c r="AC54" s="9">
        <v>16.5</v>
      </c>
      <c r="AD54" s="9">
        <f t="shared" si="25"/>
        <v>14.5</v>
      </c>
      <c r="AE54">
        <f t="shared" si="11"/>
        <v>3432</v>
      </c>
      <c r="AF54">
        <f t="shared" si="12"/>
        <v>1044</v>
      </c>
      <c r="AG54">
        <f t="shared" si="13"/>
        <v>1189</v>
      </c>
      <c r="AH54">
        <f t="shared" si="14"/>
        <v>5665</v>
      </c>
    </row>
    <row r="55" spans="1:35">
      <c r="A55" s="1">
        <v>52</v>
      </c>
      <c r="B55" s="1" t="s">
        <v>247</v>
      </c>
      <c r="C55" s="1" t="s">
        <v>246</v>
      </c>
      <c r="D55" s="1"/>
      <c r="E55" s="1" t="s">
        <v>248</v>
      </c>
      <c r="F55" s="1" t="s">
        <v>221</v>
      </c>
      <c r="G55" s="11" t="s">
        <v>249</v>
      </c>
      <c r="H55" s="1"/>
      <c r="I55" s="11" t="s">
        <v>249</v>
      </c>
      <c r="J55" s="1"/>
      <c r="K55" s="1">
        <v>13</v>
      </c>
      <c r="L55" s="1">
        <v>8</v>
      </c>
      <c r="M55" s="1">
        <f t="shared" si="23"/>
        <v>19.5</v>
      </c>
      <c r="N55" s="1">
        <f t="shared" si="24"/>
        <v>26</v>
      </c>
      <c r="O55" s="1">
        <v>26</v>
      </c>
      <c r="P55" s="1">
        <f t="shared" si="0"/>
        <v>2704</v>
      </c>
      <c r="Q55" s="1">
        <v>50</v>
      </c>
      <c r="R55" s="1">
        <f t="shared" si="1"/>
        <v>975</v>
      </c>
      <c r="S55" s="1">
        <v>54</v>
      </c>
      <c r="T55" s="1">
        <f t="shared" si="2"/>
        <v>1404</v>
      </c>
      <c r="U55" s="1">
        <f t="shared" si="3"/>
        <v>5083</v>
      </c>
      <c r="V55" s="1">
        <f t="shared" si="4"/>
        <v>50.83</v>
      </c>
      <c r="W55" s="1">
        <f t="shared" si="5"/>
        <v>254.15</v>
      </c>
      <c r="X55" s="1">
        <v>1300</v>
      </c>
      <c r="Y55" s="1">
        <f t="shared" si="9"/>
        <v>1690</v>
      </c>
      <c r="Z55" s="1"/>
      <c r="AA55" s="1">
        <f t="shared" si="6"/>
        <v>3088.0200000000004</v>
      </c>
      <c r="AC55" s="9">
        <v>19.5</v>
      </c>
      <c r="AD55" s="9">
        <f t="shared" si="25"/>
        <v>17.5</v>
      </c>
      <c r="AE55">
        <f t="shared" si="11"/>
        <v>4056</v>
      </c>
      <c r="AF55">
        <f t="shared" si="12"/>
        <v>1312.5</v>
      </c>
      <c r="AG55">
        <f t="shared" si="13"/>
        <v>1890</v>
      </c>
      <c r="AH55">
        <f t="shared" si="14"/>
        <v>7258.5</v>
      </c>
    </row>
    <row r="56" spans="1:35">
      <c r="A56" s="1">
        <v>53</v>
      </c>
      <c r="B56" s="1" t="s">
        <v>251</v>
      </c>
      <c r="C56" s="1" t="s">
        <v>250</v>
      </c>
      <c r="D56" s="1"/>
      <c r="E56" s="1" t="s">
        <v>252</v>
      </c>
      <c r="F56" s="1" t="s">
        <v>221</v>
      </c>
      <c r="G56" s="11" t="s">
        <v>253</v>
      </c>
      <c r="H56" s="1"/>
      <c r="I56" s="11" t="s">
        <v>253</v>
      </c>
      <c r="J56" s="1"/>
      <c r="K56" s="1">
        <v>11</v>
      </c>
      <c r="L56" s="1">
        <v>8</v>
      </c>
      <c r="M56" s="1">
        <f t="shared" si="23"/>
        <v>16.5</v>
      </c>
      <c r="N56" s="1">
        <f t="shared" si="24"/>
        <v>22</v>
      </c>
      <c r="O56" s="1">
        <v>22</v>
      </c>
      <c r="P56" s="1">
        <f t="shared" si="0"/>
        <v>1936</v>
      </c>
      <c r="Q56" s="1">
        <v>14</v>
      </c>
      <c r="R56" s="1">
        <f t="shared" si="1"/>
        <v>231</v>
      </c>
      <c r="S56" s="1">
        <v>7</v>
      </c>
      <c r="T56" s="1">
        <f t="shared" si="2"/>
        <v>154</v>
      </c>
      <c r="U56" s="1">
        <f t="shared" si="3"/>
        <v>2321</v>
      </c>
      <c r="V56" s="1">
        <f t="shared" si="4"/>
        <v>23.21</v>
      </c>
      <c r="W56" s="1">
        <f t="shared" si="5"/>
        <v>116.05000000000001</v>
      </c>
      <c r="X56" s="1">
        <v>0</v>
      </c>
      <c r="Y56" s="1">
        <f t="shared" si="9"/>
        <v>0</v>
      </c>
      <c r="Z56" s="1"/>
      <c r="AA56" s="1">
        <f t="shared" si="6"/>
        <v>2181.7399999999998</v>
      </c>
      <c r="AC56" s="9">
        <v>16.5</v>
      </c>
      <c r="AD56" s="9">
        <f t="shared" si="25"/>
        <v>14.5</v>
      </c>
      <c r="AE56">
        <f t="shared" si="11"/>
        <v>2904</v>
      </c>
      <c r="AF56">
        <f t="shared" si="12"/>
        <v>304.5</v>
      </c>
      <c r="AG56">
        <f t="shared" si="13"/>
        <v>203</v>
      </c>
      <c r="AH56">
        <f t="shared" si="14"/>
        <v>3411.5</v>
      </c>
    </row>
    <row r="57" spans="1:35">
      <c r="A57" s="1">
        <v>54</v>
      </c>
      <c r="B57" s="1" t="s">
        <v>255</v>
      </c>
      <c r="C57" s="1" t="s">
        <v>254</v>
      </c>
      <c r="D57" s="1"/>
      <c r="E57" s="1" t="s">
        <v>252</v>
      </c>
      <c r="F57" s="1" t="s">
        <v>221</v>
      </c>
      <c r="G57" s="11" t="s">
        <v>256</v>
      </c>
      <c r="H57" s="1"/>
      <c r="I57" s="11" t="s">
        <v>256</v>
      </c>
      <c r="J57" s="1"/>
      <c r="K57" s="1">
        <v>11</v>
      </c>
      <c r="L57" s="1">
        <v>8</v>
      </c>
      <c r="M57" s="1">
        <f t="shared" si="23"/>
        <v>16.5</v>
      </c>
      <c r="N57" s="1">
        <f t="shared" si="24"/>
        <v>22</v>
      </c>
      <c r="O57" s="1">
        <v>26</v>
      </c>
      <c r="P57" s="1">
        <f t="shared" si="0"/>
        <v>2288</v>
      </c>
      <c r="Q57" s="1">
        <v>39</v>
      </c>
      <c r="R57" s="1">
        <f t="shared" si="1"/>
        <v>643.5</v>
      </c>
      <c r="S57" s="1">
        <v>18</v>
      </c>
      <c r="T57" s="1">
        <f t="shared" si="2"/>
        <v>396</v>
      </c>
      <c r="U57" s="1">
        <f t="shared" si="3"/>
        <v>3327.5</v>
      </c>
      <c r="V57" s="1">
        <f t="shared" si="4"/>
        <v>33.274999999999999</v>
      </c>
      <c r="W57" s="1">
        <f t="shared" si="5"/>
        <v>166.375</v>
      </c>
      <c r="X57" s="1">
        <v>0</v>
      </c>
      <c r="Y57" s="1">
        <f t="shared" si="9"/>
        <v>0</v>
      </c>
      <c r="Z57" s="1"/>
      <c r="AA57" s="1">
        <f t="shared" si="6"/>
        <v>3127.85</v>
      </c>
      <c r="AC57" s="9">
        <v>16.5</v>
      </c>
      <c r="AD57" s="9">
        <f t="shared" si="25"/>
        <v>14.5</v>
      </c>
      <c r="AE57">
        <f t="shared" si="11"/>
        <v>3432</v>
      </c>
      <c r="AF57">
        <f t="shared" si="12"/>
        <v>848.25</v>
      </c>
      <c r="AG57">
        <f t="shared" si="13"/>
        <v>522</v>
      </c>
      <c r="AH57">
        <f t="shared" si="14"/>
        <v>4802.25</v>
      </c>
    </row>
    <row r="58" spans="1:35">
      <c r="A58" s="1">
        <v>55</v>
      </c>
      <c r="B58" s="1" t="s">
        <v>258</v>
      </c>
      <c r="C58" s="1" t="s">
        <v>257</v>
      </c>
      <c r="D58" s="1"/>
      <c r="E58" s="1" t="s">
        <v>252</v>
      </c>
      <c r="F58" s="1" t="s">
        <v>221</v>
      </c>
      <c r="G58" s="11" t="s">
        <v>259</v>
      </c>
      <c r="H58" s="1"/>
      <c r="I58" s="11" t="s">
        <v>259</v>
      </c>
      <c r="J58" s="1"/>
      <c r="K58" s="1">
        <v>11</v>
      </c>
      <c r="L58" s="1">
        <v>8</v>
      </c>
      <c r="M58" s="1">
        <f t="shared" si="23"/>
        <v>16.5</v>
      </c>
      <c r="N58" s="1">
        <f t="shared" si="24"/>
        <v>22</v>
      </c>
      <c r="O58" s="1">
        <v>17</v>
      </c>
      <c r="P58" s="1">
        <f t="shared" si="0"/>
        <v>1496</v>
      </c>
      <c r="Q58" s="1">
        <v>8</v>
      </c>
      <c r="R58" s="1">
        <f t="shared" si="1"/>
        <v>132</v>
      </c>
      <c r="S58" s="1">
        <v>9</v>
      </c>
      <c r="T58" s="1">
        <f t="shared" si="2"/>
        <v>198</v>
      </c>
      <c r="U58" s="1">
        <f t="shared" si="3"/>
        <v>1826</v>
      </c>
      <c r="V58" s="1">
        <f t="shared" si="4"/>
        <v>18.260000000000002</v>
      </c>
      <c r="W58" s="1">
        <f t="shared" si="5"/>
        <v>91.300000000000011</v>
      </c>
      <c r="X58" s="1">
        <v>1300</v>
      </c>
      <c r="Y58" s="1">
        <f t="shared" si="9"/>
        <v>1690</v>
      </c>
      <c r="Z58" s="1"/>
      <c r="AA58" s="1">
        <f t="shared" si="6"/>
        <v>26.440000000000055</v>
      </c>
      <c r="AC58" s="9">
        <v>16.5</v>
      </c>
      <c r="AD58" s="9">
        <f t="shared" si="25"/>
        <v>14.5</v>
      </c>
      <c r="AE58">
        <f t="shared" si="11"/>
        <v>2244</v>
      </c>
      <c r="AF58">
        <f t="shared" si="12"/>
        <v>174</v>
      </c>
      <c r="AG58">
        <f t="shared" si="13"/>
        <v>261</v>
      </c>
      <c r="AH58">
        <f t="shared" si="14"/>
        <v>2679</v>
      </c>
    </row>
    <row r="59" spans="1:35">
      <c r="A59" s="1">
        <v>56</v>
      </c>
      <c r="B59" s="1" t="s">
        <v>261</v>
      </c>
      <c r="C59" s="1" t="s">
        <v>260</v>
      </c>
      <c r="D59" s="1"/>
      <c r="E59" s="1" t="s">
        <v>252</v>
      </c>
      <c r="F59" s="1" t="s">
        <v>221</v>
      </c>
      <c r="G59" s="11" t="s">
        <v>262</v>
      </c>
      <c r="H59" s="1"/>
      <c r="I59" s="11" t="s">
        <v>262</v>
      </c>
      <c r="J59" s="1"/>
      <c r="K59" s="1">
        <v>11</v>
      </c>
      <c r="L59" s="1">
        <v>8</v>
      </c>
      <c r="M59" s="1">
        <f t="shared" si="23"/>
        <v>16.5</v>
      </c>
      <c r="N59" s="1">
        <f t="shared" si="24"/>
        <v>22</v>
      </c>
      <c r="O59" s="1">
        <v>20</v>
      </c>
      <c r="P59" s="1">
        <f t="shared" si="0"/>
        <v>1760</v>
      </c>
      <c r="Q59" s="1">
        <v>18</v>
      </c>
      <c r="R59" s="1">
        <f t="shared" si="1"/>
        <v>297</v>
      </c>
      <c r="S59" s="1">
        <v>0</v>
      </c>
      <c r="T59" s="1">
        <f t="shared" si="2"/>
        <v>0</v>
      </c>
      <c r="U59" s="1">
        <f t="shared" si="3"/>
        <v>2057</v>
      </c>
      <c r="V59" s="1">
        <f t="shared" si="4"/>
        <v>20.57</v>
      </c>
      <c r="W59" s="1">
        <f t="shared" si="5"/>
        <v>102.85000000000001</v>
      </c>
      <c r="X59" s="1">
        <v>0</v>
      </c>
      <c r="Y59" s="1">
        <f t="shared" si="9"/>
        <v>0</v>
      </c>
      <c r="Z59" s="1"/>
      <c r="AA59" s="1">
        <f t="shared" si="6"/>
        <v>1933.5800000000002</v>
      </c>
      <c r="AC59" s="9">
        <v>16.5</v>
      </c>
      <c r="AD59" s="9">
        <f t="shared" si="25"/>
        <v>14.5</v>
      </c>
      <c r="AE59">
        <f t="shared" si="11"/>
        <v>2640</v>
      </c>
      <c r="AF59">
        <f t="shared" si="12"/>
        <v>391.5</v>
      </c>
      <c r="AG59">
        <f t="shared" si="13"/>
        <v>0</v>
      </c>
      <c r="AH59">
        <f t="shared" si="14"/>
        <v>3031.5</v>
      </c>
    </row>
    <row r="60" spans="1:35">
      <c r="A60" s="1">
        <v>57</v>
      </c>
      <c r="B60" s="1" t="s">
        <v>264</v>
      </c>
      <c r="C60" s="1" t="s">
        <v>263</v>
      </c>
      <c r="D60" s="1"/>
      <c r="E60" s="1" t="s">
        <v>252</v>
      </c>
      <c r="F60" s="1" t="s">
        <v>221</v>
      </c>
      <c r="G60" s="11" t="s">
        <v>265</v>
      </c>
      <c r="H60" s="1"/>
      <c r="I60" s="11" t="s">
        <v>265</v>
      </c>
      <c r="J60" s="1"/>
      <c r="K60" s="1">
        <v>11</v>
      </c>
      <c r="L60" s="1">
        <v>8</v>
      </c>
      <c r="M60" s="1">
        <f t="shared" si="23"/>
        <v>16.5</v>
      </c>
      <c r="N60" s="1">
        <f t="shared" si="24"/>
        <v>22</v>
      </c>
      <c r="O60" s="1">
        <v>19</v>
      </c>
      <c r="P60" s="1">
        <f t="shared" si="0"/>
        <v>1672</v>
      </c>
      <c r="Q60" s="1">
        <v>28</v>
      </c>
      <c r="R60" s="1">
        <f t="shared" si="1"/>
        <v>462</v>
      </c>
      <c r="S60" s="1">
        <v>18</v>
      </c>
      <c r="T60" s="1">
        <f t="shared" si="2"/>
        <v>396</v>
      </c>
      <c r="U60" s="1">
        <f t="shared" si="3"/>
        <v>2530</v>
      </c>
      <c r="V60" s="1">
        <f t="shared" si="4"/>
        <v>25.3</v>
      </c>
      <c r="W60" s="1">
        <f t="shared" si="5"/>
        <v>126.5</v>
      </c>
      <c r="X60" s="1">
        <v>0</v>
      </c>
      <c r="Y60" s="1">
        <f t="shared" si="9"/>
        <v>0</v>
      </c>
      <c r="Z60" s="1"/>
      <c r="AA60" s="1">
        <f t="shared" si="6"/>
        <v>2378.1999999999998</v>
      </c>
      <c r="AC60" s="9">
        <v>16.5</v>
      </c>
      <c r="AD60" s="9">
        <f t="shared" si="25"/>
        <v>14.5</v>
      </c>
      <c r="AE60">
        <f t="shared" si="11"/>
        <v>2508</v>
      </c>
      <c r="AF60">
        <f t="shared" si="12"/>
        <v>609</v>
      </c>
      <c r="AG60">
        <f t="shared" si="13"/>
        <v>522</v>
      </c>
      <c r="AH60">
        <f t="shared" si="14"/>
        <v>3639</v>
      </c>
    </row>
    <row r="61" spans="1:35">
      <c r="A61" s="1">
        <v>58</v>
      </c>
      <c r="B61" s="1" t="s">
        <v>267</v>
      </c>
      <c r="C61" s="1" t="s">
        <v>266</v>
      </c>
      <c r="D61" s="1"/>
      <c r="E61" s="1" t="s">
        <v>252</v>
      </c>
      <c r="F61" s="1" t="s">
        <v>221</v>
      </c>
      <c r="G61" s="11" t="s">
        <v>268</v>
      </c>
      <c r="H61" s="1"/>
      <c r="I61" s="11" t="s">
        <v>268</v>
      </c>
      <c r="J61" s="1"/>
      <c r="K61" s="1">
        <v>11</v>
      </c>
      <c r="L61" s="1">
        <v>8</v>
      </c>
      <c r="M61" s="1">
        <f t="shared" si="23"/>
        <v>16.5</v>
      </c>
      <c r="N61" s="1">
        <f t="shared" si="24"/>
        <v>22</v>
      </c>
      <c r="O61" s="1">
        <v>25</v>
      </c>
      <c r="P61" s="1">
        <f t="shared" si="0"/>
        <v>2200</v>
      </c>
      <c r="Q61" s="1">
        <v>34</v>
      </c>
      <c r="R61" s="1">
        <f t="shared" si="1"/>
        <v>561</v>
      </c>
      <c r="S61" s="1">
        <v>39</v>
      </c>
      <c r="T61" s="1">
        <f t="shared" si="2"/>
        <v>858</v>
      </c>
      <c r="U61" s="1">
        <f t="shared" si="3"/>
        <v>3619</v>
      </c>
      <c r="V61" s="1">
        <f t="shared" si="4"/>
        <v>36.19</v>
      </c>
      <c r="W61" s="1">
        <f t="shared" si="5"/>
        <v>180.95000000000002</v>
      </c>
      <c r="X61" s="1">
        <v>0</v>
      </c>
      <c r="Y61" s="1">
        <f t="shared" si="9"/>
        <v>0</v>
      </c>
      <c r="Z61" s="1"/>
      <c r="AA61" s="1">
        <f t="shared" si="6"/>
        <v>3401.86</v>
      </c>
      <c r="AC61" s="9">
        <v>16.5</v>
      </c>
      <c r="AD61" s="9">
        <f t="shared" si="25"/>
        <v>14.5</v>
      </c>
      <c r="AE61">
        <f t="shared" si="11"/>
        <v>3300</v>
      </c>
      <c r="AF61">
        <f t="shared" si="12"/>
        <v>739.5</v>
      </c>
      <c r="AG61">
        <f t="shared" si="13"/>
        <v>1131</v>
      </c>
      <c r="AH61">
        <f t="shared" si="14"/>
        <v>5170.5</v>
      </c>
    </row>
    <row r="62" spans="1:35">
      <c r="A62" s="1">
        <v>59</v>
      </c>
      <c r="B62" s="1" t="s">
        <v>270</v>
      </c>
      <c r="C62" s="1" t="s">
        <v>269</v>
      </c>
      <c r="D62" s="1"/>
      <c r="E62" s="1" t="s">
        <v>252</v>
      </c>
      <c r="F62" s="1" t="s">
        <v>221</v>
      </c>
      <c r="G62" s="11" t="s">
        <v>271</v>
      </c>
      <c r="H62" s="1"/>
      <c r="I62" s="11" t="s">
        <v>271</v>
      </c>
      <c r="J62" s="1"/>
      <c r="K62" s="1">
        <v>11</v>
      </c>
      <c r="L62" s="1">
        <v>8</v>
      </c>
      <c r="M62" s="1">
        <f t="shared" si="23"/>
        <v>16.5</v>
      </c>
      <c r="N62" s="1">
        <f t="shared" si="24"/>
        <v>22</v>
      </c>
      <c r="O62" s="1">
        <v>16</v>
      </c>
      <c r="P62" s="1">
        <f t="shared" si="0"/>
        <v>1408</v>
      </c>
      <c r="Q62" s="1">
        <v>32</v>
      </c>
      <c r="R62" s="1">
        <f t="shared" si="1"/>
        <v>528</v>
      </c>
      <c r="S62" s="1">
        <v>14</v>
      </c>
      <c r="T62" s="1">
        <f t="shared" si="2"/>
        <v>308</v>
      </c>
      <c r="U62" s="1">
        <f t="shared" si="3"/>
        <v>2244</v>
      </c>
      <c r="V62" s="1">
        <f t="shared" si="4"/>
        <v>22.44</v>
      </c>
      <c r="W62" s="1">
        <f t="shared" si="5"/>
        <v>112.2</v>
      </c>
      <c r="X62" s="1">
        <v>0</v>
      </c>
      <c r="Y62" s="1">
        <f t="shared" si="9"/>
        <v>0</v>
      </c>
      <c r="Z62" s="1"/>
      <c r="AA62" s="1">
        <f t="shared" si="6"/>
        <v>2109.36</v>
      </c>
      <c r="AC62" s="9">
        <v>16.5</v>
      </c>
      <c r="AD62" s="9">
        <f t="shared" si="25"/>
        <v>14.5</v>
      </c>
      <c r="AE62">
        <f t="shared" si="11"/>
        <v>2112</v>
      </c>
      <c r="AF62">
        <f t="shared" si="12"/>
        <v>696</v>
      </c>
      <c r="AG62">
        <f t="shared" si="13"/>
        <v>406</v>
      </c>
      <c r="AH62">
        <f t="shared" si="14"/>
        <v>3214</v>
      </c>
      <c r="AI62" s="8">
        <f>SUM(AH47:AH62)</f>
        <v>84355.5</v>
      </c>
    </row>
    <row r="63" spans="1:35">
      <c r="J63" s="1"/>
      <c r="K63" s="1"/>
      <c r="L63" s="1"/>
      <c r="M63" s="1"/>
      <c r="U63" s="14">
        <f>SUM(U4:U62)</f>
        <v>216683.5</v>
      </c>
      <c r="V63" s="13">
        <f t="shared" si="4"/>
        <v>2166.835</v>
      </c>
      <c r="W63" s="13">
        <f t="shared" si="5"/>
        <v>10834.175000000001</v>
      </c>
      <c r="AC63" s="1"/>
      <c r="AD63" s="1"/>
      <c r="AH63" s="8"/>
    </row>
    <row r="64" spans="1:35">
      <c r="J64" s="1"/>
      <c r="K64" s="1"/>
      <c r="L64" s="1"/>
      <c r="M64" s="1"/>
      <c r="AI64" s="8">
        <f>AI28+AI46+AI62</f>
        <v>290932.75</v>
      </c>
    </row>
    <row r="65" spans="5:13">
      <c r="J65" s="1"/>
      <c r="K65" s="1"/>
      <c r="L65" s="1"/>
      <c r="M65" s="1"/>
    </row>
    <row r="66" spans="5:13">
      <c r="E66" s="15" t="s">
        <v>277</v>
      </c>
      <c r="F66" s="15"/>
      <c r="G66" s="15"/>
      <c r="H66" s="15"/>
      <c r="I66" s="15"/>
      <c r="J66" s="15"/>
      <c r="K66" s="15"/>
      <c r="L66" s="1"/>
      <c r="M66" s="1"/>
    </row>
    <row r="67" spans="5:13">
      <c r="J67" s="1"/>
      <c r="K67" s="1"/>
      <c r="L67" s="1"/>
      <c r="M67" s="1"/>
    </row>
    <row r="68" spans="5:13">
      <c r="E68" t="s">
        <v>278</v>
      </c>
      <c r="F68" t="s">
        <v>288</v>
      </c>
      <c r="G68" t="s">
        <v>282</v>
      </c>
      <c r="H68" t="s">
        <v>288</v>
      </c>
      <c r="I68" t="s">
        <v>283</v>
      </c>
      <c r="J68" s="1" t="s">
        <v>288</v>
      </c>
      <c r="K68" s="1" t="s">
        <v>284</v>
      </c>
      <c r="L68" s="1"/>
      <c r="M68" s="13" t="s">
        <v>288</v>
      </c>
    </row>
    <row r="69" spans="5:13">
      <c r="E69" t="s">
        <v>279</v>
      </c>
      <c r="F69">
        <f>AI62</f>
        <v>84355.5</v>
      </c>
      <c r="G69" t="s">
        <v>279</v>
      </c>
      <c r="H69">
        <f>AI46</f>
        <v>108702.5</v>
      </c>
      <c r="I69" t="s">
        <v>279</v>
      </c>
      <c r="J69">
        <f>AI28</f>
        <v>97874.75</v>
      </c>
      <c r="K69" t="s">
        <v>279</v>
      </c>
    </row>
    <row r="70" spans="5:13">
      <c r="E70" t="s">
        <v>280</v>
      </c>
      <c r="F70">
        <f>F69*16%</f>
        <v>13496.880000000001</v>
      </c>
      <c r="G70" t="s">
        <v>280</v>
      </c>
      <c r="H70">
        <f>H69*16%</f>
        <v>17392.400000000001</v>
      </c>
      <c r="I70" t="s">
        <v>280</v>
      </c>
      <c r="J70">
        <f>J69*16%</f>
        <v>15659.960000000001</v>
      </c>
      <c r="K70" t="s">
        <v>280</v>
      </c>
    </row>
    <row r="71" spans="5:13">
      <c r="E71" t="s">
        <v>281</v>
      </c>
      <c r="F71">
        <f>SUM(F69:F70)</f>
        <v>97852.38</v>
      </c>
      <c r="G71" t="s">
        <v>281</v>
      </c>
      <c r="H71">
        <f>SUM(H69:H70)</f>
        <v>126094.9</v>
      </c>
      <c r="I71" t="s">
        <v>281</v>
      </c>
      <c r="J71">
        <f>SUM(J69:J70)</f>
        <v>113534.71</v>
      </c>
      <c r="K71" t="s">
        <v>281</v>
      </c>
    </row>
    <row r="73" spans="5:13">
      <c r="E73" t="s">
        <v>285</v>
      </c>
      <c r="G73">
        <f>F69+H69+J69</f>
        <v>290932.75</v>
      </c>
    </row>
    <row r="74" spans="5:13">
      <c r="E74" t="s">
        <v>287</v>
      </c>
      <c r="G74">
        <f>U63</f>
        <v>216683.5</v>
      </c>
    </row>
    <row r="75" spans="5:13">
      <c r="E75" t="s">
        <v>286</v>
      </c>
      <c r="G75" s="8">
        <f>G73-G74</f>
        <v>74249.25</v>
      </c>
    </row>
  </sheetData>
  <mergeCells count="1">
    <mergeCell ref="E66:K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2026-06-27T13:26:56Z</dcterms:created>
  <dcterms:modified xsi:type="dcterms:W3CDTF">2026-06-28T19:38:32Z</dcterms:modified>
</cp:coreProperties>
</file>