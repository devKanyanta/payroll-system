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6930"/>
  </bookViews>
  <sheets>
    <sheet name="PAYROLL" sheetId="1" r:id="rId1"/>
    <sheet name="PAYSLIP" sheetId="2" r:id="rId2"/>
  </sheets>
  <calcPr calcId="162913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C12" i="2"/>
  <c r="C11" i="2"/>
  <c r="E5" i="2"/>
  <c r="H12" i="2" s="1"/>
  <c r="D11" i="2" s="1"/>
  <c r="D14" i="2" s="1"/>
  <c r="D12" i="2" s="1"/>
  <c r="D17" i="2" l="1"/>
  <c r="H11" i="2" s="1"/>
  <c r="H13" i="2" s="1"/>
  <c r="H16" i="2" l="1"/>
</calcChain>
</file>

<file path=xl/sharedStrings.xml><?xml version="1.0" encoding="utf-8"?>
<sst xmlns="http://schemas.openxmlformats.org/spreadsheetml/2006/main" count="126" uniqueCount="79">
  <si>
    <t>S/N</t>
  </si>
  <si>
    <t>NAMES</t>
  </si>
  <si>
    <t>NRC</t>
  </si>
  <si>
    <t>JOB TITTLE</t>
  </si>
  <si>
    <t>RATE/HRS</t>
  </si>
  <si>
    <t>PRESENT DAYS</t>
  </si>
  <si>
    <t>HOLIDAY OVERTIME RATE</t>
  </si>
  <si>
    <t>PRESENT AMOUNT</t>
  </si>
  <si>
    <t>OVER TIME RATE</t>
  </si>
  <si>
    <t>OVER TIME AMOUNT</t>
  </si>
  <si>
    <t>HOLIDAY OVER TIME AMOUNT</t>
  </si>
  <si>
    <t>GROSS SALARY</t>
  </si>
  <si>
    <t>KELIES CHIKUMBI</t>
  </si>
  <si>
    <t>355479/66/1</t>
  </si>
  <si>
    <t>FIITER</t>
  </si>
  <si>
    <t>NORMAL WORKING HRS</t>
  </si>
  <si>
    <t>OVERT TIME</t>
  </si>
  <si>
    <t>HOLIDAY OVER TIME</t>
  </si>
  <si>
    <t>NHIMA</t>
  </si>
  <si>
    <t>NAPSA</t>
  </si>
  <si>
    <t>SOFT LOAN DEDUCTION</t>
  </si>
  <si>
    <t>SOFT LOAN</t>
  </si>
  <si>
    <t>OTHER DEDUCTION</t>
  </si>
  <si>
    <t>NET PAY</t>
  </si>
  <si>
    <t>MAPALO</t>
  </si>
  <si>
    <t>X</t>
  </si>
  <si>
    <t>DEVELOPER</t>
  </si>
  <si>
    <t>MUSUNGA ENGINEERING SERVICES LTD</t>
  </si>
  <si>
    <t>MUFULIRA</t>
  </si>
  <si>
    <t>PAY STATEMENT FOR:  AUGUST 2025</t>
  </si>
  <si>
    <r>
      <rPr>
        <b/>
        <sz val="11"/>
        <color theme="1"/>
        <rFont val="Calibri"/>
        <family val="2"/>
        <scheme val="minor"/>
      </rPr>
      <t>EMP NO</t>
    </r>
    <r>
      <rPr>
        <sz val="11"/>
        <color theme="1"/>
        <rFont val="Calibri"/>
        <family val="2"/>
        <scheme val="minor"/>
      </rPr>
      <t xml:space="preserve">   00101</t>
    </r>
  </si>
  <si>
    <t>GRADE</t>
  </si>
  <si>
    <t>MINE SITE</t>
  </si>
  <si>
    <t xml:space="preserve">XMAS BONUS </t>
  </si>
  <si>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 xml:space="preserve">      CHIKUMBI KELIES</t>
    </r>
  </si>
  <si>
    <r>
      <rPr>
        <b/>
        <sz val="11"/>
        <color theme="1"/>
        <rFont val="Calibri"/>
        <family val="2"/>
        <scheme val="minor"/>
      </rPr>
      <t>N.R.C:</t>
    </r>
    <r>
      <rPr>
        <sz val="11"/>
        <color theme="1"/>
        <rFont val="Calibri"/>
        <family val="2"/>
        <scheme val="minor"/>
      </rPr>
      <t xml:space="preserve">        355479/66/1</t>
    </r>
  </si>
  <si>
    <r>
      <rPr>
        <b/>
        <sz val="11"/>
        <color theme="1"/>
        <rFont val="Calibri"/>
        <family val="2"/>
        <scheme val="minor"/>
      </rPr>
      <t>DATE Engaged:</t>
    </r>
    <r>
      <rPr>
        <sz val="11"/>
        <color theme="1"/>
        <rFont val="Calibri"/>
        <family val="2"/>
        <scheme val="minor"/>
      </rPr>
      <t xml:space="preserve"> 08/04/2017</t>
    </r>
  </si>
  <si>
    <t xml:space="preserve">Earning </t>
  </si>
  <si>
    <t>Deductions</t>
  </si>
  <si>
    <t xml:space="preserve">Description </t>
  </si>
  <si>
    <t>units</t>
  </si>
  <si>
    <t>Amount</t>
  </si>
  <si>
    <t>Description</t>
  </si>
  <si>
    <t>BASIC PAY</t>
  </si>
  <si>
    <t>SHIFT DIFFERENTIAL</t>
  </si>
  <si>
    <t xml:space="preserve">Total Earnings </t>
  </si>
  <si>
    <t xml:space="preserve">Total Deductions </t>
  </si>
  <si>
    <t>Net Pay</t>
  </si>
  <si>
    <t>Page                      1</t>
  </si>
  <si>
    <t>OVERTIME</t>
  </si>
  <si>
    <t>SUNDAY/HOLIDAY OT</t>
  </si>
  <si>
    <t>OTHER</t>
  </si>
  <si>
    <t>SITE</t>
  </si>
  <si>
    <t>KITWE</t>
  </si>
  <si>
    <t>Alice Phiri</t>
  </si>
  <si>
    <t>100001/10/1</t>
  </si>
  <si>
    <t>Software Engineer</t>
  </si>
  <si>
    <t/>
  </si>
  <si>
    <t>1.5</t>
  </si>
  <si>
    <t>2.0</t>
  </si>
  <si>
    <t>Bob Mwila</t>
  </si>
  <si>
    <t>100002/10/1</t>
  </si>
  <si>
    <t>Accountant</t>
  </si>
  <si>
    <t>Carol Banda</t>
  </si>
  <si>
    <t>100003/10/1</t>
  </si>
  <si>
    <t>HR Officer</t>
  </si>
  <si>
    <t>David Zulu</t>
  </si>
  <si>
    <t>100004/10/1</t>
  </si>
  <si>
    <t>Operations Manager</t>
  </si>
  <si>
    <t>Eve Kasonde</t>
  </si>
  <si>
    <t>100005/10/1</t>
  </si>
  <si>
    <t>Sales Representative</t>
  </si>
  <si>
    <t>Frank Tembo</t>
  </si>
  <si>
    <t>100006/10/1</t>
  </si>
  <si>
    <t>Network Administrator</t>
  </si>
  <si>
    <t>Grace Chanda</t>
  </si>
  <si>
    <t>100007/10/1</t>
  </si>
  <si>
    <t>Marketing Specialist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</si>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</sst>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3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4" fillId="4" borderId="5" xfId="0" applyFont="true" applyFill="true" applyBorder="true"/>
    <xf numFmtId="0" fontId="5" fillId="4" borderId="5" xfId="0" applyFont="true" applyFill="true" applyBorder="true"/>
    <xf numFmtId="0" fontId="6" fillId="4" borderId="5" xfId="0" applyFont="true" applyFill="true" applyBorder="true"/>
    <xf numFmtId="0" fontId="7" fillId="4" borderId="5" xfId="0" applyFont="true" applyFill="true" applyBorder="true"/>
    <xf numFmtId="0" fontId="8" fillId="4" borderId="5" xfId="0" applyFont="true" applyFill="true" applyBorder="true"/>
    <xf numFmtId="0" fontId="9" fillId="4" borderId="5" xfId="0" applyFont="true" applyFill="true" applyBorder="true"/>
    <xf numFmtId="0" fontId="10" fillId="4" borderId="5" xfId="0" applyFont="true" applyFill="true" applyBorder="true"/>
    <xf numFmtId="0" fontId="11" fillId="4" borderId="5" xfId="0" applyFont="true" applyFill="true" applyBorder="true"/>
    <xf numFmtId="0" fontId="12" fillId="4" borderId="5" xfId="0" applyFont="true" applyFill="true" applyBorder="true"/>
    <xf numFmtId="0" fontId="13" fillId="4" borderId="5" xfId="0" applyFont="true" applyFill="true" applyBorder="true"/>
    <xf numFmtId="0" fontId="14" fillId="4" borderId="5" xfId="0" applyFont="true" applyFill="true" applyBorder="true"/>
    <xf numFmtId="0" fontId="15" fillId="4" borderId="5" xfId="0" applyFont="true" applyFill="true" applyBorder="true"/>
    <xf numFmtId="0" fontId="16" fillId="4" borderId="5" xfId="0" applyFont="true" applyFill="true" applyBorder="true"/>
    <xf numFmtId="0" fontId="17" fillId="4" borderId="5" xfId="0" applyFont="true" applyFill="true" applyBorder="true"/>
    <xf numFmtId="0" fontId="18" fillId="4" borderId="5" xfId="0" applyFont="true" applyFill="true" applyBorder="true"/>
    <xf numFmtId="0" fontId="19" fillId="4" borderId="5" xfId="0" applyFont="true" applyFill="true" applyBorder="true"/>
    <xf numFmtId="0" fontId="20" fillId="4" borderId="5" xfId="0" applyFont="true" applyFill="true" applyBorder="true"/>
    <xf numFmtId="0" fontId="21" fillId="4" borderId="5" xfId="0" applyFont="true" applyFill="true" applyBorder="true"/>
    <xf numFmtId="0" fontId="22" fillId="4" borderId="5" xfId="0" applyFont="true" applyFill="true" applyBorder="true"/>
    <xf numFmtId="0" fontId="23" fillId="4" borderId="5" xfId="0" applyFont="true" applyFill="true" applyBorder="true"/>
    <xf numFmtId="0" fontId="24" fillId="4" borderId="5" xfId="0" applyFont="true" applyFill="true" applyBorder="true"/>
    <xf numFmtId="0" fontId="25" fillId="4" borderId="5" xfId="0" applyFont="true" applyFill="true" applyBorder="true"/>
    <xf numFmtId="4" fontId="0" fillId="0" borderId="5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3"/>
  <sheetViews>
    <sheetView tabSelected="1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R14" sqref="R14"/>
    </sheetView>
  </sheetViews>
  <sheetFormatPr defaultRowHeight="14.5" x14ac:dyDescent="0.35"/>
  <cols>
    <col min="2" max="2" customWidth="true" width="17.90625"/>
    <col min="3" max="3" customWidth="true" width="15.0"/>
    <col min="4" max="5" customWidth="true" width="14.453125"/>
    <col min="6" max="7" customWidth="true" width="12.36328125"/>
    <col min="8" max="8" customWidth="true" width="13.1796875"/>
    <col min="9" max="9" customWidth="true" width="16.1796875"/>
    <col min="10" max="10" customWidth="true" width="13.453125"/>
    <col min="11" max="12" customWidth="true" width="12.08984375"/>
    <col min="13" max="14" customWidth="true" width="9.90625"/>
    <col min="15" max="15" customWidth="true" width="13.7265625"/>
    <col min="19" max="19" customWidth="true" width="13.1796875"/>
    <col min="20" max="20" customWidth="true" width="15.81640625"/>
    <col min="21" max="21" customWidth="true" width="15.7265625"/>
  </cols>
  <sheetData>
    <row r="3" spans="1:22" s="1" customFormat="1" ht="43.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52</v>
      </c>
      <c r="F3" s="2" t="s">
        <v>4</v>
      </c>
      <c r="G3" s="2" t="s">
        <v>15</v>
      </c>
      <c r="H3" s="2" t="s">
        <v>8</v>
      </c>
      <c r="I3" s="2" t="s">
        <v>6</v>
      </c>
      <c r="J3" s="2" t="s">
        <v>5</v>
      </c>
      <c r="K3" s="2" t="s">
        <v>7</v>
      </c>
      <c r="L3" s="2" t="s">
        <v>16</v>
      </c>
      <c r="M3" s="2" t="s">
        <v>9</v>
      </c>
      <c r="N3" s="2" t="s">
        <v>17</v>
      </c>
      <c r="O3" s="2" t="s">
        <v>10</v>
      </c>
      <c r="P3" s="2" t="s">
        <v>11</v>
      </c>
      <c r="Q3" s="2" t="s">
        <v>18</v>
      </c>
      <c r="R3" s="2" t="s">
        <v>19</v>
      </c>
      <c r="S3" s="2" t="s">
        <v>21</v>
      </c>
      <c r="T3" s="2" t="s">
        <v>20</v>
      </c>
      <c r="U3" s="2" t="s">
        <v>22</v>
      </c>
      <c r="V3" s="2" t="s">
        <v>23</v>
      </c>
    </row>
    <row r="4">
      <c r="A4" t="s" s="11">
        <v>0</v>
      </c>
      <c r="B4" t="s" s="12">
        <v>1</v>
      </c>
      <c r="C4" t="s" s="13">
        <v>2</v>
      </c>
      <c r="D4" t="s" s="14">
        <v>3</v>
      </c>
      <c r="E4" t="s" s="15">
        <v>52</v>
      </c>
      <c r="F4" t="s" s="16">
        <v>4</v>
      </c>
      <c r="G4" t="s" s="17">
        <v>15</v>
      </c>
      <c r="H4" t="s" s="18">
        <v>8</v>
      </c>
      <c r="I4" t="s" s="19">
        <v>6</v>
      </c>
      <c r="J4" t="s" s="20">
        <v>5</v>
      </c>
      <c r="K4" t="s" s="21">
        <v>7</v>
      </c>
      <c r="L4" t="s" s="22">
        <v>16</v>
      </c>
      <c r="M4" t="s" s="23">
        <v>9</v>
      </c>
      <c r="N4" t="s" s="24">
        <v>17</v>
      </c>
      <c r="O4" t="s" s="25">
        <v>10</v>
      </c>
      <c r="P4" t="s" s="26">
        <v>11</v>
      </c>
      <c r="Q4" t="s" s="27">
        <v>18</v>
      </c>
      <c r="R4" t="s" s="28">
        <v>19</v>
      </c>
      <c r="S4" t="s" s="29">
        <v>21</v>
      </c>
      <c r="T4" t="s" s="30">
        <v>20</v>
      </c>
      <c r="U4" t="s" s="31">
        <v>22</v>
      </c>
      <c r="V4" t="s" s="32">
        <v>23</v>
      </c>
    </row>
    <row r="5">
      <c r="A5" t="n" s="0">
        <v>1.0</v>
      </c>
      <c r="B5" t="s" s="0">
        <v>54</v>
      </c>
      <c r="C5" t="s" s="0">
        <v>55</v>
      </c>
      <c r="D5" t="s" s="0">
        <v>56</v>
      </c>
      <c r="E5" t="s" s="0">
        <v>57</v>
      </c>
      <c r="F5" t="n" s="0">
        <v>15000.0</v>
      </c>
      <c r="G5" t="n" s="0">
        <v>176.0</v>
      </c>
      <c r="H5" t="s" s="0">
        <v>58</v>
      </c>
      <c r="I5" t="s" s="0">
        <v>59</v>
      </c>
      <c r="J5" t="n" s="0">
        <v>0.0</v>
      </c>
      <c r="K5" t="n" s="33">
        <v>15000.0</v>
      </c>
      <c r="L5" t="n" s="0">
        <v>0.0</v>
      </c>
      <c r="M5" t="n" s="33">
        <v>0.0</v>
      </c>
      <c r="N5" t="n" s="0">
        <v>0.0</v>
      </c>
      <c r="O5" t="n" s="33">
        <v>0.0</v>
      </c>
      <c r="P5" t="n" s="33">
        <v>15000.0</v>
      </c>
      <c r="Q5" t="n" s="33">
        <v>150.0</v>
      </c>
      <c r="R5" t="n" s="33">
        <v>500.0</v>
      </c>
      <c r="S5" t="n" s="0">
        <v>0.0</v>
      </c>
      <c r="T5" t="n" s="33">
        <v>0.0</v>
      </c>
      <c r="U5" t="n" s="33">
        <v>0.0</v>
      </c>
      <c r="V5" t="n" s="33">
        <v>12950.0</v>
      </c>
    </row>
    <row r="6">
      <c r="A6" t="n" s="0">
        <v>2.0</v>
      </c>
      <c r="B6" t="s" s="0">
        <v>60</v>
      </c>
      <c r="C6" t="s" s="0">
        <v>61</v>
      </c>
      <c r="D6" t="s" s="0">
        <v>62</v>
      </c>
      <c r="E6" t="s" s="0">
        <v>57</v>
      </c>
      <c r="F6" t="n" s="0">
        <v>12000.0</v>
      </c>
      <c r="G6" t="n" s="0">
        <v>176.0</v>
      </c>
      <c r="H6" t="s" s="0">
        <v>58</v>
      </c>
      <c r="I6" t="s" s="0">
        <v>59</v>
      </c>
      <c r="J6" t="n" s="0">
        <v>0.0</v>
      </c>
      <c r="K6" t="n" s="33">
        <v>12000.0</v>
      </c>
      <c r="L6" t="n" s="0">
        <v>0.0</v>
      </c>
      <c r="M6" t="n" s="33">
        <v>0.0</v>
      </c>
      <c r="N6" t="n" s="0">
        <v>0.0</v>
      </c>
      <c r="O6" t="n" s="33">
        <v>0.0</v>
      </c>
      <c r="P6" t="n" s="33">
        <v>12000.0</v>
      </c>
      <c r="Q6" t="n" s="33">
        <v>120.0</v>
      </c>
      <c r="R6" t="n" s="33">
        <v>500.0</v>
      </c>
      <c r="S6" t="n" s="0">
        <v>0.0</v>
      </c>
      <c r="T6" t="n" s="33">
        <v>0.0</v>
      </c>
      <c r="U6" t="n" s="33">
        <v>0.0</v>
      </c>
      <c r="V6" t="n" s="33">
        <v>10580.0</v>
      </c>
    </row>
    <row r="7">
      <c r="A7" t="n" s="0">
        <v>3.0</v>
      </c>
      <c r="B7" t="s" s="0">
        <v>63</v>
      </c>
      <c r="C7" t="s" s="0">
        <v>64</v>
      </c>
      <c r="D7" t="s" s="0">
        <v>65</v>
      </c>
      <c r="E7" t="s" s="0">
        <v>57</v>
      </c>
      <c r="F7" t="n" s="0">
        <v>10000.0</v>
      </c>
      <c r="G7" t="n" s="0">
        <v>176.0</v>
      </c>
      <c r="H7" t="s" s="0">
        <v>58</v>
      </c>
      <c r="I7" t="s" s="0">
        <v>59</v>
      </c>
      <c r="J7" t="n" s="0">
        <v>0.0</v>
      </c>
      <c r="K7" t="n" s="33">
        <v>10000.0</v>
      </c>
      <c r="L7" t="n" s="0">
        <v>0.0</v>
      </c>
      <c r="M7" t="n" s="33">
        <v>0.0</v>
      </c>
      <c r="N7" t="n" s="0">
        <v>0.0</v>
      </c>
      <c r="O7" t="n" s="33">
        <v>0.0</v>
      </c>
      <c r="P7" t="n" s="33">
        <v>10000.0</v>
      </c>
      <c r="Q7" t="n" s="33">
        <v>100.0</v>
      </c>
      <c r="R7" t="n" s="33">
        <v>500.0</v>
      </c>
      <c r="S7" t="n" s="0">
        <v>0.0</v>
      </c>
      <c r="T7" t="n" s="33">
        <v>0.0</v>
      </c>
      <c r="U7" t="n" s="33">
        <v>0.0</v>
      </c>
      <c r="V7" t="n" s="33">
        <v>9000.0</v>
      </c>
    </row>
    <row r="8">
      <c r="A8" t="n" s="0">
        <v>4.0</v>
      </c>
      <c r="B8" t="s" s="0">
        <v>66</v>
      </c>
      <c r="C8" t="s" s="0">
        <v>67</v>
      </c>
      <c r="D8" t="s" s="0">
        <v>68</v>
      </c>
      <c r="E8" t="s" s="0">
        <v>57</v>
      </c>
      <c r="F8" t="n" s="0">
        <v>18000.0</v>
      </c>
      <c r="G8" t="n" s="0">
        <v>176.0</v>
      </c>
      <c r="H8" t="s" s="0">
        <v>58</v>
      </c>
      <c r="I8" t="s" s="0">
        <v>59</v>
      </c>
      <c r="J8" t="n" s="0">
        <v>0.0</v>
      </c>
      <c r="K8" t="n" s="33">
        <v>18000.0</v>
      </c>
      <c r="L8" t="n" s="0">
        <v>0.0</v>
      </c>
      <c r="M8" t="n" s="33">
        <v>0.0</v>
      </c>
      <c r="N8" t="n" s="0">
        <v>0.0</v>
      </c>
      <c r="O8" t="n" s="33">
        <v>0.0</v>
      </c>
      <c r="P8" t="n" s="33">
        <v>18000.0</v>
      </c>
      <c r="Q8" t="n" s="33">
        <v>180.0</v>
      </c>
      <c r="R8" t="n" s="33">
        <v>500.0</v>
      </c>
      <c r="S8" t="n" s="0">
        <v>0.0</v>
      </c>
      <c r="T8" t="n" s="33">
        <v>0.0</v>
      </c>
      <c r="U8" t="n" s="33">
        <v>0.0</v>
      </c>
      <c r="V8" t="n" s="33">
        <v>15119.99</v>
      </c>
    </row>
    <row r="9">
      <c r="A9" t="n" s="0">
        <v>5.0</v>
      </c>
      <c r="B9" t="s" s="0">
        <v>69</v>
      </c>
      <c r="C9" t="s" s="0">
        <v>70</v>
      </c>
      <c r="D9" t="s" s="0">
        <v>71</v>
      </c>
      <c r="E9" t="s" s="0">
        <v>57</v>
      </c>
      <c r="F9" t="n" s="0">
        <v>8000.0</v>
      </c>
      <c r="G9" t="n" s="0">
        <v>176.0</v>
      </c>
      <c r="H9" t="s" s="0">
        <v>58</v>
      </c>
      <c r="I9" t="s" s="0">
        <v>59</v>
      </c>
      <c r="J9" t="n" s="0">
        <v>0.0</v>
      </c>
      <c r="K9" t="n" s="33">
        <v>8000.0</v>
      </c>
      <c r="L9" t="n" s="0">
        <v>0.0</v>
      </c>
      <c r="M9" t="n" s="33">
        <v>0.0</v>
      </c>
      <c r="N9" t="n" s="0">
        <v>0.0</v>
      </c>
      <c r="O9" t="n" s="33">
        <v>0.0</v>
      </c>
      <c r="P9" t="n" s="33">
        <v>8000.0</v>
      </c>
      <c r="Q9" t="n" s="33">
        <v>80.0</v>
      </c>
      <c r="R9" t="n" s="33">
        <v>400.0</v>
      </c>
      <c r="S9" t="n" s="0">
        <v>0.0</v>
      </c>
      <c r="T9" t="n" s="33">
        <v>0.0</v>
      </c>
      <c r="U9" t="n" s="33">
        <v>0.0</v>
      </c>
      <c r="V9" t="n" s="33">
        <v>7520.0</v>
      </c>
    </row>
    <row r="10">
      <c r="A10" t="n" s="0">
        <v>6.0</v>
      </c>
      <c r="B10" t="s" s="0">
        <v>72</v>
      </c>
      <c r="C10" t="s" s="0">
        <v>73</v>
      </c>
      <c r="D10" t="s" s="0">
        <v>74</v>
      </c>
      <c r="E10" t="s" s="0">
        <v>57</v>
      </c>
      <c r="F10" t="n" s="0">
        <v>11000.0</v>
      </c>
      <c r="G10" t="n" s="0">
        <v>176.0</v>
      </c>
      <c r="H10" t="s" s="0">
        <v>58</v>
      </c>
      <c r="I10" t="s" s="0">
        <v>59</v>
      </c>
      <c r="J10" t="n" s="0">
        <v>0.0</v>
      </c>
      <c r="K10" t="n" s="33">
        <v>11000.0</v>
      </c>
      <c r="L10" t="n" s="0">
        <v>0.0</v>
      </c>
      <c r="M10" t="n" s="33">
        <v>0.0</v>
      </c>
      <c r="N10" t="n" s="0">
        <v>0.0</v>
      </c>
      <c r="O10" t="n" s="33">
        <v>0.0</v>
      </c>
      <c r="P10" t="n" s="33">
        <v>11000.0</v>
      </c>
      <c r="Q10" t="n" s="33">
        <v>110.0</v>
      </c>
      <c r="R10" t="n" s="33">
        <v>500.0</v>
      </c>
      <c r="S10" t="n" s="0">
        <v>0.0</v>
      </c>
      <c r="T10" t="n" s="33">
        <v>0.0</v>
      </c>
      <c r="U10" t="n" s="33">
        <v>0.0</v>
      </c>
      <c r="V10" t="n" s="33">
        <v>9790.0</v>
      </c>
    </row>
    <row r="11">
      <c r="A11" t="n" s="0">
        <v>7.0</v>
      </c>
      <c r="B11" t="s" s="0">
        <v>75</v>
      </c>
      <c r="C11" t="s" s="0">
        <v>76</v>
      </c>
      <c r="D11" t="s" s="0">
        <v>77</v>
      </c>
      <c r="E11" t="s" s="0">
        <v>57</v>
      </c>
      <c r="F11" t="n" s="0">
        <v>4500.0</v>
      </c>
      <c r="G11" t="n" s="0">
        <v>176.0</v>
      </c>
      <c r="H11" t="s" s="0">
        <v>58</v>
      </c>
      <c r="I11" t="s" s="0">
        <v>59</v>
      </c>
      <c r="J11" t="n" s="0">
        <v>0.0</v>
      </c>
      <c r="K11" t="n" s="33">
        <v>4500.0</v>
      </c>
      <c r="L11" t="n" s="0">
        <v>0.0</v>
      </c>
      <c r="M11" t="n" s="33">
        <v>0.0</v>
      </c>
      <c r="N11" t="n" s="0">
        <v>0.0</v>
      </c>
      <c r="O11" t="n" s="33">
        <v>0.0</v>
      </c>
      <c r="P11" t="n" s="33">
        <v>4500.0</v>
      </c>
      <c r="Q11" t="n" s="33">
        <v>45.0</v>
      </c>
      <c r="R11" t="n" s="33">
        <v>225.0</v>
      </c>
      <c r="S11" t="n" s="0">
        <v>0.0</v>
      </c>
      <c r="T11" t="n" s="33">
        <v>0.0</v>
      </c>
      <c r="U11" t="n" s="33">
        <v>0.0</v>
      </c>
      <c r="V11" t="n" s="33">
        <v>4230.0</v>
      </c>
    </row>
    <row r="13">
      <c r="A13" t="s" s="0">
        <v>78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H17" sqref="H17"/>
    </sheetView>
  </sheetViews>
  <sheetFormatPr defaultRowHeight="14.5" x14ac:dyDescent="0.35"/>
  <cols>
    <col min="1" max="1" bestFit="true" customWidth="true" width="23.81640625"/>
    <col min="3" max="3" bestFit="true" customWidth="true" width="5.0"/>
    <col min="4" max="4" customWidth="true" width="24.90625"/>
    <col min="6" max="6" bestFit="true" customWidth="true" width="9.6328125"/>
    <col min="7" max="7" bestFit="true" customWidth="true" width="15.54296875"/>
    <col min="8" max="8" customWidth="true" width="17.6328125"/>
  </cols>
  <sheetData>
    <row r="2" spans="1:8" ht="18.5" x14ac:dyDescent="0.45">
      <c r="D2" s="3" t="s">
        <v>27</v>
      </c>
      <c r="E2" s="3"/>
      <c r="F2" s="3"/>
      <c r="H2" t="s" s="0">
        <v>48</v>
      </c>
    </row>
    <row r="3" spans="1:8" x14ac:dyDescent="0.35">
      <c r="A3" t="s" s="0">
        <v>28</v>
      </c>
      <c r="D3" s="4" t="s">
        <v>29</v>
      </c>
      <c r="E3" s="4"/>
      <c r="F3" s="4"/>
    </row>
    <row r="4" spans="1:8" x14ac:dyDescent="0.35">
      <c r="A4" t="s" s="0">
        <v>30</v>
      </c>
      <c r="E4" s="4" t="s">
        <v>31</v>
      </c>
      <c r="F4" s="4" t="s">
        <v>32</v>
      </c>
      <c r="G4" s="4" t="s">
        <v>33</v>
      </c>
      <c r="H4" s="9" t="s">
        <v>15</v>
      </c>
    </row>
    <row r="5" spans="1:8" x14ac:dyDescent="0.35">
      <c r="A5" t="s" s="0">
        <v>34</v>
      </c>
      <c r="E5" s="6">
        <f>PAYROLL!F4</f>
        <v>35</v>
      </c>
      <c r="F5" t="s" s="0">
        <v>28</v>
      </c>
      <c r="H5" s="0">
        <v>8</v>
      </c>
    </row>
    <row r="6" spans="1:8" x14ac:dyDescent="0.35">
      <c r="A6" t="s" s="0">
        <v>35</v>
      </c>
    </row>
    <row r="7" spans="1:8" x14ac:dyDescent="0.35">
      <c r="A7" t="s" s="0">
        <v>36</v>
      </c>
    </row>
    <row r="9" spans="1:8" x14ac:dyDescent="0.35">
      <c r="A9" s="10" t="s">
        <v>37</v>
      </c>
      <c r="B9" s="10"/>
      <c r="C9" s="10"/>
      <c r="D9" s="10"/>
      <c r="E9" s="7"/>
      <c r="F9" s="7"/>
      <c r="G9" s="10" t="s">
        <v>38</v>
      </c>
      <c r="H9" s="10"/>
    </row>
    <row r="10" spans="1:8" x14ac:dyDescent="0.35">
      <c r="A10" s="4" t="s">
        <v>39</v>
      </c>
      <c r="C10" s="5" t="s">
        <v>40</v>
      </c>
      <c r="D10" s="5" t="s">
        <v>41</v>
      </c>
      <c r="G10" s="4" t="s">
        <v>42</v>
      </c>
      <c r="H10" s="5" t="s">
        <v>41</v>
      </c>
    </row>
    <row r="11" spans="1:8" x14ac:dyDescent="0.35">
      <c r="A11" t="s" s="0">
        <v>43</v>
      </c>
      <c r="C11" s="0">
        <f>PAYROLL!J4</f>
        <v>26</v>
      </c>
      <c r="D11" s="0">
        <f>PAYROLL!K4</f>
        <v>7280</v>
      </c>
      <c r="G11" t="s" s="0">
        <v>19</v>
      </c>
      <c r="H11" s="0">
        <f>PAYROLL!R4</f>
        <v>485.625</v>
      </c>
    </row>
    <row r="12" spans="1:8" x14ac:dyDescent="0.35">
      <c r="A12" t="s" s="0">
        <v>49</v>
      </c>
      <c r="C12" s="0">
        <f>PAYROLL!L4</f>
        <v>25</v>
      </c>
      <c r="D12" s="0">
        <f>PAYROLL!M4</f>
        <v>1312.5</v>
      </c>
      <c r="G12" t="s" s="0">
        <v>21</v>
      </c>
      <c r="H12" s="0">
        <f>PAYROLL!T4</f>
        <v>1950</v>
      </c>
    </row>
    <row r="13" spans="1:8" x14ac:dyDescent="0.35">
      <c r="A13" t="s" s="0">
        <v>44</v>
      </c>
      <c r="C13" s="0">
        <v>0</v>
      </c>
      <c r="G13" t="s" s="0">
        <v>18</v>
      </c>
      <c r="H13" s="0">
        <f>PAYROLL!Q4</f>
        <v>97.125</v>
      </c>
    </row>
    <row r="14" spans="1:8" x14ac:dyDescent="0.35">
      <c r="A14" t="s" s="0">
        <v>50</v>
      </c>
      <c r="C14" s="0">
        <f>PAYROLL!N4</f>
        <v>16</v>
      </c>
      <c r="D14" s="0">
        <f>PAYROLL!O4</f>
        <v>1120</v>
      </c>
      <c r="G14" t="s" s="0">
        <v>51</v>
      </c>
      <c r="H14" s="0">
        <v>0</v>
      </c>
    </row>
    <row r="16" spans="1:8" x14ac:dyDescent="0.35">
      <c r="A16" s="8" t="s">
        <v>45</v>
      </c>
      <c r="B16" s="8"/>
      <c r="C16" s="8"/>
      <c r="D16" s="8"/>
      <c r="E16" s="8"/>
      <c r="F16" s="8"/>
      <c r="G16" s="8" t="s">
        <v>46</v>
      </c>
      <c r="H16" s="8">
        <f>SUM(H11:H14)</f>
        <v>2532.75</v>
      </c>
    </row>
    <row r="17" spans="1:8" x14ac:dyDescent="0.35">
      <c r="A17" s="8"/>
      <c r="B17" s="8"/>
      <c r="C17" s="8"/>
      <c r="D17" s="8">
        <f>PAYROLL!P4</f>
        <v>9712.5</v>
      </c>
      <c r="E17" s="8"/>
      <c r="F17" s="8"/>
      <c r="G17" s="8" t="s">
        <v>47</v>
      </c>
      <c r="H17" s="8"/>
    </row>
  </sheetData>
  <mergeCells count="2">
    <mergeCell ref="A9:D9"/>
    <mergeCell ref="G9:H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2026-06-16T06:33:20Z</dcterms:created>
  <dc:creator>DELL</dc:creator>
  <cp:lastModifiedBy>DELL</cp:lastModifiedBy>
  <dcterms:modified xsi:type="dcterms:W3CDTF">2026-06-16T17:44:33Z</dcterms:modified>
</cp:coreProperties>
</file>