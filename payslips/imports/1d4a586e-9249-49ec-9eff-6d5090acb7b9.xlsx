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6930"/>
  </bookViews>
  <sheets>
    <sheet name="PAYROLL" sheetId="1" r:id="rId1"/>
    <sheet name="PAYSLI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1" l="1"/>
  <c r="C14" i="2" l="1"/>
  <c r="C12" i="2"/>
  <c r="C11" i="2"/>
  <c r="E5" i="2"/>
  <c r="T5" i="1" l="1"/>
  <c r="K5" i="1"/>
  <c r="I5" i="1"/>
  <c r="O5" i="1" s="1"/>
  <c r="H5" i="1"/>
  <c r="M5" i="1" s="1"/>
  <c r="P5" i="1" s="1"/>
  <c r="T4" i="1"/>
  <c r="H12" i="2" s="1"/>
  <c r="K4" i="1"/>
  <c r="D11" i="2" s="1"/>
  <c r="I4" i="1"/>
  <c r="O4" i="1" s="1"/>
  <c r="D14" i="2" s="1"/>
  <c r="H4" i="1"/>
  <c r="M4" i="1" s="1"/>
  <c r="D12" i="2" s="1"/>
  <c r="Q5" i="1" l="1"/>
  <c r="R5" i="1"/>
  <c r="V5" i="1"/>
  <c r="P4" i="1"/>
  <c r="D17" i="2" l="1"/>
  <c r="R4" i="1"/>
  <c r="H11" i="2" s="1"/>
  <c r="Q4" i="1"/>
  <c r="H13" i="2" s="1"/>
  <c r="H16" i="2" l="1"/>
  <c r="V4" i="1"/>
</calcChain>
</file>

<file path=xl/sharedStrings.xml><?xml version="1.0" encoding="utf-8"?>
<sst xmlns="http://schemas.openxmlformats.org/spreadsheetml/2006/main" count="61" uniqueCount="54">
  <si>
    <t>S/N</t>
  </si>
  <si>
    <t>NAMES</t>
  </si>
  <si>
    <t>NRC</t>
  </si>
  <si>
    <t>JOB TITTLE</t>
  </si>
  <si>
    <t>RATE/HRS</t>
  </si>
  <si>
    <t>PRESENT DAYS</t>
  </si>
  <si>
    <t>HOLIDAY OVERTIME RATE</t>
  </si>
  <si>
    <t>PRESENT AMOUNT</t>
  </si>
  <si>
    <t>OVER TIME RATE</t>
  </si>
  <si>
    <t>OVER TIME AMOUNT</t>
  </si>
  <si>
    <t>HOLIDAY OVER TIME AMOUNT</t>
  </si>
  <si>
    <t>GROSS SALARY</t>
  </si>
  <si>
    <t>KELIES CHIKUMBI</t>
  </si>
  <si>
    <t>355479/66/1</t>
  </si>
  <si>
    <t>FIITER</t>
  </si>
  <si>
    <t>NORMAL WORKING HRS</t>
  </si>
  <si>
    <t>OVERT TIME</t>
  </si>
  <si>
    <t>HOLIDAY OVER TIME</t>
  </si>
  <si>
    <t>NHIMA</t>
  </si>
  <si>
    <t>NAPSA</t>
  </si>
  <si>
    <t>SOFT LOAN DEDUCTION</t>
  </si>
  <si>
    <t>SOFT LOAN</t>
  </si>
  <si>
    <t>OTHER DEDUCTION</t>
  </si>
  <si>
    <t>NET PAY</t>
  </si>
  <si>
    <t>MAPALO</t>
  </si>
  <si>
    <t>X</t>
  </si>
  <si>
    <t>DEVELOPER</t>
  </si>
  <si>
    <t>MUSUNGA ENGINEERING SERVICES LTD</t>
  </si>
  <si>
    <t>MUFULIRA</t>
  </si>
  <si>
    <t>PAY STATEMENT FOR:  AUGUST 2025</t>
  </si>
  <si>
    <r>
      <rPr>
        <b/>
        <sz val="11"/>
        <color theme="1"/>
        <rFont val="Calibri"/>
        <family val="2"/>
        <scheme val="minor"/>
      </rPr>
      <t>EMP NO</t>
    </r>
    <r>
      <rPr>
        <sz val="11"/>
        <color theme="1"/>
        <rFont val="Calibri"/>
        <family val="2"/>
        <scheme val="minor"/>
      </rPr>
      <t xml:space="preserve">   00101</t>
    </r>
  </si>
  <si>
    <t>GRADE</t>
  </si>
  <si>
    <t>MINE SITE</t>
  </si>
  <si>
    <t xml:space="preserve">XMAS BONUS </t>
  </si>
  <si>
    <r>
      <rPr>
        <b/>
        <sz val="11"/>
        <color theme="1"/>
        <rFont val="Calibri"/>
        <family val="2"/>
        <scheme val="minor"/>
      </rPr>
      <t>NAME:</t>
    </r>
    <r>
      <rPr>
        <sz val="11"/>
        <color theme="1"/>
        <rFont val="Calibri"/>
        <family val="2"/>
        <scheme val="minor"/>
      </rPr>
      <t xml:space="preserve">      CHIKUMBI KELIES</t>
    </r>
  </si>
  <si>
    <r>
      <rPr>
        <b/>
        <sz val="11"/>
        <color theme="1"/>
        <rFont val="Calibri"/>
        <family val="2"/>
        <scheme val="minor"/>
      </rPr>
      <t>N.R.C:</t>
    </r>
    <r>
      <rPr>
        <sz val="11"/>
        <color theme="1"/>
        <rFont val="Calibri"/>
        <family val="2"/>
        <scheme val="minor"/>
      </rPr>
      <t xml:space="preserve">        355479/66/1</t>
    </r>
  </si>
  <si>
    <r>
      <rPr>
        <b/>
        <sz val="11"/>
        <color theme="1"/>
        <rFont val="Calibri"/>
        <family val="2"/>
        <scheme val="minor"/>
      </rPr>
      <t>DATE Engaged:</t>
    </r>
    <r>
      <rPr>
        <sz val="11"/>
        <color theme="1"/>
        <rFont val="Calibri"/>
        <family val="2"/>
        <scheme val="minor"/>
      </rPr>
      <t xml:space="preserve"> 08/04/2017</t>
    </r>
  </si>
  <si>
    <t xml:space="preserve">Earning </t>
  </si>
  <si>
    <t>Deductions</t>
  </si>
  <si>
    <t xml:space="preserve">Description </t>
  </si>
  <si>
    <t>units</t>
  </si>
  <si>
    <t>Amount</t>
  </si>
  <si>
    <t>Description</t>
  </si>
  <si>
    <t>BASIC PAY</t>
  </si>
  <si>
    <t>SHIFT DIFFERENTIAL</t>
  </si>
  <si>
    <t xml:space="preserve">Total Earnings </t>
  </si>
  <si>
    <t xml:space="preserve">Total Deductions </t>
  </si>
  <si>
    <t>Net Pay</t>
  </si>
  <si>
    <t>Page                      1</t>
  </si>
  <si>
    <t>OVERTIME</t>
  </si>
  <si>
    <t>SUNDAY/HOLIDAY OT</t>
  </si>
  <si>
    <t>OTHER</t>
  </si>
  <si>
    <t>SITE</t>
  </si>
  <si>
    <t>KITWE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</si>
</sst>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3" fillId="0" borderId="0" xfId="0" applyFont="1" applyAlignment="1">
      <alignment horizontal="righ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V6"/>
  <sheetViews>
    <sheetView tabSelected="1" workbookViewId="0">
      <pane xSplit="2" ySplit="3" topLeftCell="L4" activePane="bottomRight" state="frozen"/>
      <selection pane="topRight" activeCell="C1" sqref="C1"/>
      <selection pane="bottomLeft" activeCell="A4" sqref="A4"/>
      <selection pane="bottomRight" activeCell="R14" sqref="R14"/>
    </sheetView>
  </sheetViews>
  <sheetFormatPr defaultRowHeight="14.5" x14ac:dyDescent="0.35"/>
  <cols>
    <col min="2" max="2" width="17.90625" customWidth="1"/>
    <col min="3" max="3" width="15" customWidth="1"/>
    <col min="4" max="5" width="14.453125" customWidth="1"/>
    <col min="6" max="7" width="12.36328125" customWidth="1"/>
    <col min="8" max="8" width="13.1796875" customWidth="1"/>
    <col min="9" max="9" width="16.1796875" customWidth="1"/>
    <col min="10" max="10" width="13.453125" customWidth="1"/>
    <col min="11" max="12" width="12.08984375" customWidth="1"/>
    <col min="13" max="14" width="9.90625" customWidth="1"/>
    <col min="15" max="15" width="13.7265625" customWidth="1"/>
    <col min="19" max="19" width="13.1796875" customWidth="1"/>
    <col min="20" max="20" width="15.81640625" customWidth="1"/>
    <col min="21" max="21" width="15.7265625" customWidth="1"/>
  </cols>
  <sheetData>
    <row r="3" spans="1:22" s="1" customFormat="1" ht="43.5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52</v>
      </c>
      <c r="F3" s="2" t="s">
        <v>4</v>
      </c>
      <c r="G3" s="2" t="s">
        <v>15</v>
      </c>
      <c r="H3" s="2" t="s">
        <v>8</v>
      </c>
      <c r="I3" s="2" t="s">
        <v>6</v>
      </c>
      <c r="J3" s="2" t="s">
        <v>5</v>
      </c>
      <c r="K3" s="2" t="s">
        <v>7</v>
      </c>
      <c r="L3" s="2" t="s">
        <v>16</v>
      </c>
      <c r="M3" s="2" t="s">
        <v>9</v>
      </c>
      <c r="N3" s="2" t="s">
        <v>17</v>
      </c>
      <c r="O3" s="2" t="s">
        <v>10</v>
      </c>
      <c r="P3" s="2" t="s">
        <v>11</v>
      </c>
      <c r="Q3" s="2" t="s">
        <v>18</v>
      </c>
      <c r="R3" s="2" t="s">
        <v>19</v>
      </c>
      <c r="S3" s="2" t="s">
        <v>21</v>
      </c>
      <c r="T3" s="2" t="s">
        <v>20</v>
      </c>
      <c r="U3" s="2" t="s">
        <v>22</v>
      </c>
      <c r="V3" s="2" t="s">
        <v>23</v>
      </c>
    </row>
    <row r="4" spans="1:22" x14ac:dyDescent="0.35">
      <c r="A4">
        <v>1</v>
      </c>
      <c r="B4" t="s">
        <v>12</v>
      </c>
      <c r="C4" t="s">
        <v>13</v>
      </c>
      <c r="D4" t="s">
        <v>14</v>
      </c>
      <c r="E4" t="s">
        <v>53</v>
      </c>
      <c r="F4">
        <v>35</v>
      </c>
      <c r="G4">
        <v>8</v>
      </c>
      <c r="H4">
        <f>F4*1.5</f>
        <v>52.5</v>
      </c>
      <c r="I4">
        <f>F4*2</f>
        <v>70</v>
      </c>
      <c r="J4">
        <v>26</v>
      </c>
      <c r="K4">
        <f>F4*G4*J4</f>
        <v>7280</v>
      </c>
      <c r="L4">
        <v>25</v>
      </c>
      <c r="M4">
        <f>L4*H4</f>
        <v>1312.5</v>
      </c>
      <c r="N4">
        <v>16</v>
      </c>
      <c r="O4">
        <f>N4*I4</f>
        <v>1120</v>
      </c>
      <c r="P4">
        <f>K4+M4+O4</f>
        <v>9712.5</v>
      </c>
      <c r="Q4">
        <f>P4*1%</f>
        <v>97.125</v>
      </c>
      <c r="R4">
        <f>P4*5%</f>
        <v>485.625</v>
      </c>
      <c r="S4">
        <v>1500</v>
      </c>
      <c r="T4">
        <f>S4*0.3+S4</f>
        <v>1950</v>
      </c>
      <c r="V4">
        <f>P4-Q4-R4-T4-U4</f>
        <v>7179.75</v>
      </c>
    </row>
    <row r="5" spans="1:22" x14ac:dyDescent="0.35">
      <c r="A5">
        <v>2</v>
      </c>
      <c r="B5" t="s">
        <v>24</v>
      </c>
      <c r="C5" t="s">
        <v>25</v>
      </c>
      <c r="D5" t="s">
        <v>26</v>
      </c>
      <c r="E5" t="s">
        <v>28</v>
      </c>
      <c r="F5">
        <v>45</v>
      </c>
      <c r="G5">
        <v>8</v>
      </c>
      <c r="H5">
        <f>F5*1.5</f>
        <v>67.5</v>
      </c>
      <c r="I5">
        <f>F5*2</f>
        <v>90</v>
      </c>
      <c r="J5">
        <v>24</v>
      </c>
      <c r="K5">
        <f>F5*G5*J5</f>
        <v>8640</v>
      </c>
      <c r="L5">
        <v>12</v>
      </c>
      <c r="M5">
        <f>L5*H5</f>
        <v>810</v>
      </c>
      <c r="N5">
        <v>10</v>
      </c>
      <c r="O5">
        <f>N5*I5</f>
        <v>900</v>
      </c>
      <c r="P5">
        <f>K5+M5+O5</f>
        <v>10350</v>
      </c>
      <c r="Q5">
        <f>P5*1%</f>
        <v>103.5</v>
      </c>
      <c r="R5">
        <f>P5*5%</f>
        <v>517.5</v>
      </c>
      <c r="S5">
        <v>1501</v>
      </c>
      <c r="T5">
        <f>S5*0.3+S5</f>
        <v>1951.3</v>
      </c>
      <c r="V5">
        <f>P5-Q5-R5-T5-U5</f>
        <v>7777.7</v>
      </c>
    </row>
    <row r="6" spans="1:22" x14ac:dyDescent="0.35">
      <c r="A6">
        <v>3</v>
      </c>
      <c r="V6" s="4">
        <f>SUM(V4:V5)</f>
        <v>14957.45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7"/>
  <sheetViews>
    <sheetView workbookViewId="0">
      <selection activeCell="H17" sqref="H17"/>
    </sheetView>
  </sheetViews>
  <sheetFormatPr defaultRowHeight="14.5" x14ac:dyDescent="0.35"/>
  <cols>
    <col min="1" max="1" width="23.81640625" bestFit="1" customWidth="1"/>
    <col min="3" max="3" width="5" bestFit="1" customWidth="1"/>
    <col min="4" max="4" width="24.90625" customWidth="1"/>
    <col min="6" max="6" width="9.6328125" bestFit="1" customWidth="1"/>
    <col min="7" max="7" width="15.54296875" bestFit="1" customWidth="1"/>
    <col min="8" max="8" width="17.6328125" customWidth="1"/>
  </cols>
  <sheetData>
    <row r="2" spans="1:8" ht="18.5" x14ac:dyDescent="0.45">
      <c r="D2" s="3" t="s">
        <v>27</v>
      </c>
      <c r="E2" s="3"/>
      <c r="F2" s="3"/>
      <c r="H2" t="s">
        <v>48</v>
      </c>
    </row>
    <row r="3" spans="1:8" x14ac:dyDescent="0.35">
      <c r="A3" t="s">
        <v>28</v>
      </c>
      <c r="D3" s="4" t="s">
        <v>29</v>
      </c>
      <c r="E3" s="4"/>
      <c r="F3" s="4"/>
    </row>
    <row r="4" spans="1:8" x14ac:dyDescent="0.35">
      <c r="A4" t="s">
        <v>30</v>
      </c>
      <c r="E4" s="4" t="s">
        <v>31</v>
      </c>
      <c r="F4" s="4" t="s">
        <v>32</v>
      </c>
      <c r="G4" s="4" t="s">
        <v>33</v>
      </c>
      <c r="H4" s="9" t="s">
        <v>15</v>
      </c>
    </row>
    <row r="5" spans="1:8" x14ac:dyDescent="0.35">
      <c r="A5" t="s">
        <v>34</v>
      </c>
      <c r="E5" s="6">
        <f>PAYROLL!F4</f>
        <v>35</v>
      </c>
      <c r="F5" t="s">
        <v>28</v>
      </c>
      <c r="H5">
        <v>8</v>
      </c>
    </row>
    <row r="6" spans="1:8" x14ac:dyDescent="0.35">
      <c r="A6" t="s">
        <v>35</v>
      </c>
    </row>
    <row r="7" spans="1:8" x14ac:dyDescent="0.35">
      <c r="A7" t="s">
        <v>36</v>
      </c>
    </row>
    <row r="9" spans="1:8" x14ac:dyDescent="0.35">
      <c r="A9" s="10" t="s">
        <v>37</v>
      </c>
      <c r="B9" s="10"/>
      <c r="C9" s="10"/>
      <c r="D9" s="10"/>
      <c r="E9" s="7"/>
      <c r="F9" s="7"/>
      <c r="G9" s="10" t="s">
        <v>38</v>
      </c>
      <c r="H9" s="10"/>
    </row>
    <row r="10" spans="1:8" x14ac:dyDescent="0.35">
      <c r="A10" s="4" t="s">
        <v>39</v>
      </c>
      <c r="C10" s="5" t="s">
        <v>40</v>
      </c>
      <c r="D10" s="5" t="s">
        <v>41</v>
      </c>
      <c r="G10" s="4" t="s">
        <v>42</v>
      </c>
      <c r="H10" s="5" t="s">
        <v>41</v>
      </c>
    </row>
    <row r="11" spans="1:8" x14ac:dyDescent="0.35">
      <c r="A11" t="s">
        <v>43</v>
      </c>
      <c r="C11">
        <f>PAYROLL!J4</f>
        <v>26</v>
      </c>
      <c r="D11">
        <f>PAYROLL!K4</f>
        <v>7280</v>
      </c>
      <c r="G11" t="s">
        <v>19</v>
      </c>
      <c r="H11">
        <f>PAYROLL!R4</f>
        <v>485.625</v>
      </c>
    </row>
    <row r="12" spans="1:8" x14ac:dyDescent="0.35">
      <c r="A12" t="s">
        <v>49</v>
      </c>
      <c r="C12">
        <f>PAYROLL!L4</f>
        <v>25</v>
      </c>
      <c r="D12">
        <f>PAYROLL!M4</f>
        <v>1312.5</v>
      </c>
      <c r="G12" t="s">
        <v>21</v>
      </c>
      <c r="H12">
        <f>PAYROLL!T4</f>
        <v>1950</v>
      </c>
    </row>
    <row r="13" spans="1:8" x14ac:dyDescent="0.35">
      <c r="A13" t="s">
        <v>44</v>
      </c>
      <c r="C13">
        <v>0</v>
      </c>
      <c r="G13" t="s">
        <v>18</v>
      </c>
      <c r="H13">
        <f>PAYROLL!Q4</f>
        <v>97.125</v>
      </c>
    </row>
    <row r="14" spans="1:8" x14ac:dyDescent="0.35">
      <c r="A14" t="s">
        <v>50</v>
      </c>
      <c r="C14">
        <f>PAYROLL!N4</f>
        <v>16</v>
      </c>
      <c r="D14">
        <f>PAYROLL!O4</f>
        <v>1120</v>
      </c>
      <c r="G14" t="s">
        <v>51</v>
      </c>
      <c r="H14">
        <v>0</v>
      </c>
    </row>
    <row r="16" spans="1:8" x14ac:dyDescent="0.35">
      <c r="A16" s="8" t="s">
        <v>45</v>
      </c>
      <c r="B16" s="8"/>
      <c r="C16" s="8"/>
      <c r="D16" s="8"/>
      <c r="E16" s="8"/>
      <c r="F16" s="8"/>
      <c r="G16" s="8" t="s">
        <v>46</v>
      </c>
      <c r="H16" s="8">
        <f>SUM(H11:H14)</f>
        <v>2532.75</v>
      </c>
    </row>
    <row r="17" spans="1:8" x14ac:dyDescent="0.35">
      <c r="A17" s="8"/>
      <c r="B17" s="8"/>
      <c r="C17" s="8"/>
      <c r="D17" s="8">
        <f>PAYROLL!P4</f>
        <v>9712.5</v>
      </c>
      <c r="E17" s="8"/>
      <c r="F17" s="8"/>
      <c r="G17" s="8" t="s">
        <v>47</v>
      </c>
      <c r="H17" s="8"/>
    </row>
  </sheetData>
  <mergeCells count="2">
    <mergeCell ref="A9:D9"/>
    <mergeCell ref="G9:H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PAYROLL</vt:lpstr>
      <vt:lpstr>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2026-06-16T06:33:20Z</dcterms:created>
  <dcterms:modified xsi:type="dcterms:W3CDTF">2026-06-16T17:44:33Z</dcterms:modified>
</cp:coreProperties>
</file>